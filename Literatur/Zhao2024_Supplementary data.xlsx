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BD\processing\14 电动货车\paper\Version 20240122 rebuttal 2\Final version\"/>
    </mc:Choice>
  </mc:AlternateContent>
  <xr:revisionPtr revIDLastSave="0" documentId="13_ncr:1_{D1D3DE70-8BDE-4B65-85AD-06CBCB30018C}" xr6:coauthVersionLast="47" xr6:coauthVersionMax="47" xr10:uidLastSave="{00000000-0000-0000-0000-000000000000}"/>
  <bookViews>
    <workbookView xWindow="-30828" yWindow="8676" windowWidth="30936" windowHeight="16896" activeTab="2" xr2:uid="{00000000-000D-0000-FFFF-FFFF00000000}"/>
  </bookViews>
  <sheets>
    <sheet name="Life-cycle CO2 emissions" sheetId="25" r:id="rId1"/>
    <sheet name="Total cost of ownership" sheetId="27" r:id="rId2"/>
    <sheet name="Material emission factors" sheetId="28" r:id="rId3"/>
  </sheets>
  <externalReferences>
    <externalReference r:id="rId4"/>
    <externalReference r:id="rId5"/>
  </externalReference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5" l="1"/>
  <c r="B1" i="27"/>
  <c r="K1" i="27" l="1"/>
  <c r="L1" i="27"/>
  <c r="M1" i="27"/>
  <c r="N1" i="27"/>
  <c r="O1" i="27"/>
  <c r="P1" i="27"/>
  <c r="Q1" i="27"/>
  <c r="R1" i="27"/>
  <c r="K2" i="27"/>
  <c r="L2" i="27"/>
  <c r="M2" i="27"/>
  <c r="N2" i="27"/>
  <c r="O2" i="27"/>
  <c r="P2" i="27"/>
  <c r="Q2" i="27"/>
  <c r="R2" i="27"/>
  <c r="S1" i="27"/>
  <c r="K3" i="27"/>
  <c r="L3" i="27"/>
  <c r="M3" i="27"/>
  <c r="N3" i="27"/>
  <c r="O3" i="27"/>
  <c r="P3" i="27"/>
  <c r="Q3" i="27"/>
  <c r="R3" i="27"/>
  <c r="S3" i="27"/>
  <c r="K4" i="27"/>
  <c r="L4" i="27"/>
  <c r="M4" i="27"/>
  <c r="N4" i="27"/>
  <c r="O4" i="27"/>
  <c r="P4" i="27"/>
  <c r="Q4" i="27"/>
  <c r="R4" i="27"/>
  <c r="S4" i="27"/>
  <c r="K5" i="27"/>
  <c r="L5" i="27"/>
  <c r="M5" i="27"/>
  <c r="N5" i="27"/>
  <c r="O5" i="27"/>
  <c r="P5" i="27"/>
  <c r="Q5" i="27"/>
  <c r="R5" i="27"/>
  <c r="S5" i="27"/>
  <c r="K6" i="27"/>
  <c r="L6" i="27"/>
  <c r="M6" i="27"/>
  <c r="N6" i="27"/>
  <c r="O6" i="27"/>
  <c r="P6" i="27"/>
  <c r="Q6" i="27"/>
  <c r="R6" i="27"/>
  <c r="S6" i="27"/>
  <c r="K7" i="27"/>
  <c r="L7" i="27"/>
  <c r="M7" i="27"/>
  <c r="N7" i="27"/>
  <c r="O7" i="27"/>
  <c r="P7" i="27"/>
  <c r="Q7" i="27"/>
  <c r="R7" i="27"/>
  <c r="S7" i="27"/>
  <c r="K8" i="27"/>
  <c r="L8" i="27"/>
  <c r="M8" i="27"/>
  <c r="N8" i="27"/>
  <c r="O8" i="27"/>
  <c r="P8" i="27"/>
  <c r="Q8" i="27"/>
  <c r="R8" i="27"/>
  <c r="S8" i="27"/>
  <c r="K9" i="27"/>
  <c r="L9" i="27"/>
  <c r="M9" i="27"/>
  <c r="N9" i="27"/>
  <c r="O9" i="27"/>
  <c r="P9" i="27"/>
  <c r="Q9" i="27"/>
  <c r="R9" i="27"/>
  <c r="S9" i="27"/>
  <c r="K10" i="27"/>
  <c r="L10" i="27"/>
  <c r="M10" i="27"/>
  <c r="N10" i="27"/>
  <c r="O10" i="27"/>
  <c r="P10" i="27"/>
  <c r="Q10" i="27"/>
  <c r="R10" i="27"/>
  <c r="S10" i="27"/>
  <c r="K11" i="27"/>
  <c r="L11" i="27"/>
  <c r="M11" i="27"/>
  <c r="N11" i="27"/>
  <c r="O11" i="27"/>
  <c r="P11" i="27"/>
  <c r="Q11" i="27"/>
  <c r="R11" i="27"/>
  <c r="S11" i="27"/>
  <c r="C1" i="27"/>
  <c r="D1" i="27"/>
  <c r="E1" i="27"/>
  <c r="F1" i="27"/>
  <c r="G1" i="27"/>
  <c r="H1" i="27"/>
  <c r="I1" i="27"/>
  <c r="B2" i="27"/>
  <c r="C2" i="27"/>
  <c r="D2" i="27"/>
  <c r="E2" i="27"/>
  <c r="F2" i="27"/>
  <c r="G2" i="27"/>
  <c r="H2" i="27"/>
  <c r="I2" i="27"/>
  <c r="J1" i="27"/>
  <c r="B3" i="27"/>
  <c r="C3" i="27"/>
  <c r="D3" i="27"/>
  <c r="E3" i="27"/>
  <c r="F3" i="27"/>
  <c r="G3" i="27"/>
  <c r="H3" i="27"/>
  <c r="I3" i="27"/>
  <c r="J3" i="27"/>
  <c r="B4" i="27"/>
  <c r="C4" i="27"/>
  <c r="D4" i="27"/>
  <c r="E4" i="27"/>
  <c r="F4" i="27"/>
  <c r="G4" i="27"/>
  <c r="H4" i="27"/>
  <c r="I4" i="27"/>
  <c r="J4" i="27"/>
  <c r="B5" i="27"/>
  <c r="C5" i="27"/>
  <c r="D5" i="27"/>
  <c r="E5" i="27"/>
  <c r="F5" i="27"/>
  <c r="G5" i="27"/>
  <c r="H5" i="27"/>
  <c r="I5" i="27"/>
  <c r="J5" i="27"/>
  <c r="B6" i="27"/>
  <c r="C6" i="27"/>
  <c r="D6" i="27"/>
  <c r="E6" i="27"/>
  <c r="F6" i="27"/>
  <c r="G6" i="27"/>
  <c r="H6" i="27"/>
  <c r="I6" i="27"/>
  <c r="J6" i="27"/>
  <c r="B7" i="27"/>
  <c r="C7" i="27"/>
  <c r="D7" i="27"/>
  <c r="E7" i="27"/>
  <c r="F7" i="27"/>
  <c r="G7" i="27"/>
  <c r="H7" i="27"/>
  <c r="I7" i="27"/>
  <c r="J7" i="27"/>
  <c r="B8" i="27"/>
  <c r="C8" i="27"/>
  <c r="D8" i="27"/>
  <c r="E8" i="27"/>
  <c r="F8" i="27"/>
  <c r="G8" i="27"/>
  <c r="H8" i="27"/>
  <c r="I8" i="27"/>
  <c r="J8" i="27"/>
  <c r="B9" i="27"/>
  <c r="C9" i="27"/>
  <c r="D9" i="27"/>
  <c r="E9" i="27"/>
  <c r="F9" i="27"/>
  <c r="G9" i="27"/>
  <c r="H9" i="27"/>
  <c r="I9" i="27"/>
  <c r="J9" i="27"/>
  <c r="B10" i="27"/>
  <c r="C10" i="27"/>
  <c r="D10" i="27"/>
  <c r="E10" i="27"/>
  <c r="F10" i="27"/>
  <c r="G10" i="27"/>
  <c r="H10" i="27"/>
  <c r="I10" i="27"/>
  <c r="J10" i="27"/>
  <c r="B11" i="27"/>
  <c r="C11" i="27"/>
  <c r="D11" i="27"/>
  <c r="E11" i="27"/>
  <c r="F11" i="27"/>
  <c r="G11" i="27"/>
  <c r="H11" i="27"/>
  <c r="I11" i="27"/>
  <c r="J11" i="27"/>
</calcChain>
</file>

<file path=xl/sharedStrings.xml><?xml version="1.0" encoding="utf-8"?>
<sst xmlns="http://schemas.openxmlformats.org/spreadsheetml/2006/main" count="128" uniqueCount="109">
  <si>
    <t>LD delivery truck</t>
  </si>
  <si>
    <t>LD sanitation truck</t>
  </si>
  <si>
    <t>LD refuse truck</t>
  </si>
  <si>
    <t>MD sanitation truck</t>
  </si>
  <si>
    <t>MD refuse truck</t>
  </si>
  <si>
    <t>HD dump truck</t>
  </si>
  <si>
    <t>HD semi-trailer</t>
  </si>
  <si>
    <t>HD refuse truck</t>
  </si>
  <si>
    <t>MD box truck</t>
  </si>
  <si>
    <t>DT WTW CO2 (g CO2/km)-2020</t>
  </si>
  <si>
    <t>DT WTW CO2 (g CO2/km)-2030</t>
  </si>
  <si>
    <t>DT vehicle cycle CO2 (kgCO2e)-2030</t>
  </si>
  <si>
    <t>ET vehicle cycle CO2 (kgCO2e)-2030</t>
  </si>
  <si>
    <t>Priority group DT WTW CO2 (g/km)-2030</t>
  </si>
  <si>
    <t>Priority group DT life-cycle CO2 (g/km)-2030</t>
  </si>
  <si>
    <t>Priority group ET WTW CO2 (g/km)-2030</t>
  </si>
  <si>
    <t>Priority group ET life-cycle CO2 (g/km)-2030</t>
  </si>
  <si>
    <t>DT vehicle cycle CO2 (kgCO2e)-2020</t>
  </si>
  <si>
    <t>Priority group DT WTW CO2 (g/km)-2020</t>
  </si>
  <si>
    <t>Priority group DT life-cycle CO2 (g/km)-2020</t>
  </si>
  <si>
    <t>ET vehicle cycle CO2 (kgCO2e)-2020</t>
  </si>
  <si>
    <t>ET WTW CO2 (g CO2/km)-2020</t>
  </si>
  <si>
    <t>ET battery material cycle CO2 (kgCO2e)-2020</t>
  </si>
  <si>
    <t>Priority group ET WTW CO2 (g/km)-2020</t>
  </si>
  <si>
    <t>Priority group ET life-cycle CO2 (g/km)-2020</t>
  </si>
  <si>
    <t>ET WTW CO2 (g CO2/km)-2030</t>
  </si>
  <si>
    <t>ET battery material cycle CO2 (kgCO2e)-2030</t>
  </si>
  <si>
    <t>Vehicle category</t>
    <phoneticPr fontId="3" type="noConversion"/>
  </si>
  <si>
    <t>Vehicle category</t>
    <phoneticPr fontId="1" type="noConversion"/>
  </si>
  <si>
    <t>(a) Life-cycle CO2 emissions in 2020</t>
    <phoneticPr fontId="1" type="noConversion"/>
  </si>
  <si>
    <t>(b) Life-cycle CO2 emissions in 2030</t>
    <phoneticPr fontId="1" type="noConversion"/>
  </si>
  <si>
    <t>Steel</t>
  </si>
  <si>
    <t>Stainless Steel</t>
  </si>
  <si>
    <t>Cast Iron</t>
  </si>
  <si>
    <t>Wrought Aluminum</t>
  </si>
  <si>
    <t>Cast Aluminum</t>
  </si>
  <si>
    <t>Copper/Brass</t>
  </si>
  <si>
    <t>Zinc</t>
  </si>
  <si>
    <t>Magnesium</t>
  </si>
  <si>
    <t>Glass</t>
  </si>
  <si>
    <t>Average Plastic</t>
  </si>
  <si>
    <t>Rubber</t>
  </si>
  <si>
    <t>Carbon Fiber-Reinforced Plastic for General Use</t>
  </si>
  <si>
    <t>Carbon Fiber-Reinforced Plastic for High Pressure Vessels</t>
  </si>
  <si>
    <t>Glass Fiber-Reinforced Plastic</t>
  </si>
  <si>
    <t>Nickel</t>
  </si>
  <si>
    <t>PFSA</t>
  </si>
  <si>
    <t>Carbon Paper</t>
  </si>
  <si>
    <t>PTFE</t>
  </si>
  <si>
    <t>Carbon &amp; PFSA Suspension</t>
  </si>
  <si>
    <t>Platinum</t>
  </si>
  <si>
    <t>Silicon</t>
  </si>
  <si>
    <t>Engine Oil</t>
  </si>
  <si>
    <t>Power Steering Fluid</t>
  </si>
  <si>
    <t>Brake Fluid</t>
  </si>
  <si>
    <t>Transmission Fluid</t>
  </si>
  <si>
    <t>Powertrain Coolant</t>
  </si>
  <si>
    <t>Windshield Fluid</t>
  </si>
  <si>
    <t>Adhesives</t>
  </si>
  <si>
    <t>Plastic (polypropylene)</t>
  </si>
  <si>
    <t>Lead</t>
  </si>
  <si>
    <t>Sulfuric Acid</t>
  </si>
  <si>
    <t>Fiberglass</t>
  </si>
  <si>
    <t>Water</t>
  </si>
  <si>
    <t>Paint Production</t>
  </si>
  <si>
    <t>Vehicle Assembly - Painting</t>
  </si>
  <si>
    <t>Vehicle Assembly - HVAC &amp; Lighting</t>
  </si>
  <si>
    <t>Vehicle Assembly - Heating</t>
  </si>
  <si>
    <t>Vehicle Assembly - Material Handling</t>
  </si>
  <si>
    <t>Vehicle Assembly - Welding</t>
  </si>
  <si>
    <t>Vehicle Assembly - Compressed Air</t>
  </si>
  <si>
    <t>Vehicle Disposal</t>
  </si>
  <si>
    <t>Binder</t>
  </si>
  <si>
    <t>Electrolyte: LiPF6</t>
  </si>
  <si>
    <t>Electrolyte: Ethylene Carbonate</t>
  </si>
  <si>
    <t>Electrolyte: Dimethyl Carbonate</t>
  </si>
  <si>
    <t>Plastic: Polypropylene</t>
  </si>
  <si>
    <t>Plastic: Polyethylene</t>
  </si>
  <si>
    <t>Plastic: Polyethylene Terephthalate</t>
  </si>
  <si>
    <t>Thermal Insulation</t>
  </si>
  <si>
    <t>Coolant: Glycol</t>
  </si>
  <si>
    <t>Electronic Parts</t>
  </si>
  <si>
    <t>LiMn2O4</t>
  </si>
  <si>
    <t>NMC(111): Coprecipitation</t>
  </si>
  <si>
    <t>NMC(442): Coprecipitation</t>
  </si>
  <si>
    <t>NMC(532): Coprecipitation</t>
  </si>
  <si>
    <t>NMC(622): Coprecipitation</t>
  </si>
  <si>
    <t>NMC(811): Coprecipitation</t>
  </si>
  <si>
    <t>Recycled NMC(111): Coprecipitation</t>
  </si>
  <si>
    <t>LFP: Hydrothermal</t>
  </si>
  <si>
    <t>LFP: Solid State</t>
  </si>
  <si>
    <t>LMR-NMC:Solid State</t>
  </si>
  <si>
    <t>LCO: Solid State</t>
  </si>
  <si>
    <t>NCA</t>
  </si>
  <si>
    <t>NMP</t>
  </si>
  <si>
    <t>Year</t>
    <phoneticPr fontId="1" type="noConversion"/>
  </si>
  <si>
    <t>Carbon/Graphite</t>
  </si>
  <si>
    <r>
      <t>Materials 
(kg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/kg)
</t>
    </r>
    <phoneticPr fontId="1" type="noConversion"/>
  </si>
  <si>
    <r>
      <t>Lead-Acid 
(kg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/kg)</t>
    </r>
    <phoneticPr fontId="1" type="noConversion"/>
  </si>
  <si>
    <r>
      <t>Oil and Fluid  
(kg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/kg)</t>
    </r>
    <phoneticPr fontId="1" type="noConversion"/>
  </si>
  <si>
    <r>
      <t>Assembly and disposal  
(kg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/vehicle)</t>
    </r>
    <phoneticPr fontId="1" type="noConversion"/>
  </si>
  <si>
    <r>
      <t>Battery-related 
(kg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/kg)</t>
    </r>
    <phoneticPr fontId="1" type="noConversion"/>
  </si>
  <si>
    <r>
      <t>Battery Assembly lead-acid (</t>
    </r>
    <r>
      <rPr>
        <sz val="11"/>
        <color theme="1"/>
        <rFont val="Times New Roman"/>
        <family val="2"/>
      </rPr>
      <t>unit: kg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2"/>
      </rPr>
      <t>/battery)</t>
    </r>
    <phoneticPr fontId="1" type="noConversion"/>
  </si>
  <si>
    <t>Battery Assembly NCM (unit: kg/kWh)</t>
    <phoneticPr fontId="1" type="noConversion"/>
  </si>
  <si>
    <t>Battery Assembly LFP (unit: kg/kWh)</t>
    <phoneticPr fontId="1" type="noConversion"/>
  </si>
  <si>
    <t>DT life-cycle CO2 (g/km)-2030</t>
    <phoneticPr fontId="1" type="noConversion"/>
  </si>
  <si>
    <t>ET life-cycle CO2 (g/km)-2030</t>
    <phoneticPr fontId="1" type="noConversion"/>
  </si>
  <si>
    <t>ET life-cycle CO2 (g/km)-2020</t>
    <phoneticPr fontId="1" type="noConversion"/>
  </si>
  <si>
    <t>DT life-cycle CO2 (g/km)-2020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</si>
</sst>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[$-409]mmm/yy;@"/>
    <numFmt numFmtId="178" formatCode="0.00_);[Red]\(0.00\)"/>
    <numFmt numFmtId="179" formatCode="0_);[Red]\(0\)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7" fontId="5" fillId="0" borderId="0"/>
    <xf numFmtId="0" fontId="4" fillId="0" borderId="0"/>
  </cellStyleXfs>
  <cellXfs count="35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1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4" xfId="0" applyFont="1" applyBorder="1"/>
    <xf numFmtId="2" fontId="2" fillId="0" borderId="2" xfId="0" applyNumberFormat="1" applyFont="1" applyBorder="1" applyAlignment="1">
      <alignment horizontal="center" vertical="center"/>
    </xf>
    <xf numFmtId="0" fontId="2" fillId="0" borderId="5" xfId="0" applyFont="1" applyBorder="1"/>
    <xf numFmtId="176" fontId="2" fillId="0" borderId="6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178" fontId="2" fillId="0" borderId="2" xfId="0" applyNumberFormat="1" applyFont="1" applyBorder="1" applyAlignment="1">
      <alignment horizontal="center"/>
    </xf>
    <xf numFmtId="179" fontId="2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176" fontId="2" fillId="0" borderId="2" xfId="0" applyNumberFormat="1" applyFont="1" applyBorder="1" applyAlignment="1">
      <alignment horizontal="center"/>
    </xf>
  </cellXfs>
  <cellStyles count="3">
    <cellStyle name="常规" xfId="0" builtinId="0"/>
    <cellStyle name="常规 10" xfId="2" xr:uid="{1CED266F-E81C-44DD-A3CB-8FC786E6FBB6}"/>
    <cellStyle name="常规 14" xfId="1" xr:uid="{5FCE6075-9F23-4AED-8DE1-81FFC929C38E}"/>
  </cellStyles>
  <dxfs count="0"/>
  <tableStyles count="0" defaultTableStyle="TableStyleMedium9" defaultPivotStyle="PivotStyleLight16"/>
  <colors>
    <mruColors>
      <color rgb="FFFFE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BD/processing/14%20&#30005;&#21160;&#36135;&#36710;/processing/TCO/0_renew_&#32454;&#20998;&#24066;&#22330;TCO+WTW%20CO2_&#20462;&#27491;&#29123;&#26009;&#25104;&#2641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BD/processing/14%20&#30005;&#21160;&#36135;&#36710;/processing/TCO/0_C2G%20CO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_TCO calculation (2)"/>
      <sheetName val="EC"/>
      <sheetName val="VKT"/>
      <sheetName val="VKT-for plot"/>
      <sheetName val="NEV charging fee"/>
      <sheetName val="过路费"/>
      <sheetName val="Maintenance&amp;Repair"/>
      <sheetName val="Residual value"/>
      <sheetName val="Figure 1 comparable DT res"/>
      <sheetName val="TCO calculation"/>
      <sheetName val="TCO for SI"/>
      <sheetName val="TCO解构plot-USD"/>
      <sheetName val="不同情景TCO for plot"/>
      <sheetName val="TCO解构plot"/>
      <sheetName val="CO2 abatement"/>
      <sheetName val="for codes-DT"/>
      <sheetName val="for codes-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K1" t="str">
            <v>Diesel trucks ($1k)</v>
          </cell>
        </row>
        <row r="2">
          <cell r="K2" t="str">
            <v xml:space="preserve">Vehicle purchase price </v>
          </cell>
          <cell r="L2" t="str">
            <v>Compulsory liability insurance for vehicle traffic accidents (CLIVTA)</v>
          </cell>
          <cell r="M2" t="str">
            <v>Vehicle and vessel tax</v>
          </cell>
          <cell r="N2" t="str">
            <v>Fuel cost</v>
          </cell>
          <cell r="O2" t="str">
            <v>Road toll</v>
          </cell>
          <cell r="P2" t="str">
            <v>Maintenance and repair cost</v>
          </cell>
          <cell r="Q2" t="str">
            <v>Subsidy</v>
          </cell>
          <cell r="R2" t="str">
            <v>Residual value</v>
          </cell>
          <cell r="S2" t="str">
            <v>Total cost of ownership of DT ($/km)</v>
          </cell>
        </row>
        <row r="3">
          <cell r="K3">
            <v>18.231884057971012</v>
          </cell>
          <cell r="L3">
            <v>0.44492753623188408</v>
          </cell>
          <cell r="M3">
            <v>0.55652173913043468</v>
          </cell>
          <cell r="N3">
            <v>9.1241013098981778</v>
          </cell>
          <cell r="O3">
            <v>3.3761590994634205</v>
          </cell>
          <cell r="P3">
            <v>9.4714773438092283</v>
          </cell>
          <cell r="Q3">
            <v>0</v>
          </cell>
          <cell r="R3">
            <v>0</v>
          </cell>
          <cell r="S3">
            <v>0.31590449119475489</v>
          </cell>
        </row>
        <row r="4">
          <cell r="K4">
            <v>14.32463768115942</v>
          </cell>
          <cell r="L4">
            <v>0.35217391304347823</v>
          </cell>
          <cell r="M4">
            <v>0.55652173913043468</v>
          </cell>
          <cell r="N4">
            <v>4.7552076444540843</v>
          </cell>
          <cell r="O4">
            <v>0</v>
          </cell>
          <cell r="P4">
            <v>2.8837919036713773</v>
          </cell>
          <cell r="Q4">
            <v>0</v>
          </cell>
          <cell r="R4">
            <v>0</v>
          </cell>
          <cell r="S4">
            <v>0.42814711507092285</v>
          </cell>
        </row>
        <row r="5">
          <cell r="K5">
            <v>16.028985507246379</v>
          </cell>
          <cell r="L5">
            <v>0.35217391304347823</v>
          </cell>
          <cell r="M5">
            <v>0.55652173913043468</v>
          </cell>
          <cell r="N5">
            <v>4.8076254581321329</v>
          </cell>
          <cell r="O5">
            <v>1.2259239130434783</v>
          </cell>
          <cell r="P5">
            <v>3.4392071657614327</v>
          </cell>
          <cell r="Q5">
            <v>0</v>
          </cell>
          <cell r="R5">
            <v>0</v>
          </cell>
          <cell r="S5">
            <v>0.429613511026606</v>
          </cell>
        </row>
        <row r="6">
          <cell r="K6">
            <v>21.340579710144926</v>
          </cell>
          <cell r="L6">
            <v>0.5</v>
          </cell>
          <cell r="M6">
            <v>1.1130434782608694</v>
          </cell>
          <cell r="N6">
            <v>12.121984755979831</v>
          </cell>
          <cell r="O6">
            <v>7.7311107124441447</v>
          </cell>
          <cell r="P6">
            <v>13.013315628466682</v>
          </cell>
          <cell r="Q6">
            <v>0</v>
          </cell>
          <cell r="R6">
            <v>0</v>
          </cell>
          <cell r="S6">
            <v>0.40515863541447222</v>
          </cell>
        </row>
        <row r="7">
          <cell r="K7">
            <v>24.95652173913043</v>
          </cell>
          <cell r="L7">
            <v>0.35217391304347823</v>
          </cell>
          <cell r="M7">
            <v>1.1130434782608694</v>
          </cell>
          <cell r="N7">
            <v>3.2910214338237544</v>
          </cell>
          <cell r="O7">
            <v>0</v>
          </cell>
          <cell r="P7">
            <v>2.4708997808762945</v>
          </cell>
          <cell r="Q7">
            <v>0</v>
          </cell>
          <cell r="R7">
            <v>0</v>
          </cell>
          <cell r="S7">
            <v>0.60742940297197157</v>
          </cell>
        </row>
        <row r="8">
          <cell r="K8">
            <v>23.724637681159422</v>
          </cell>
          <cell r="L8">
            <v>0.35217391304347823</v>
          </cell>
          <cell r="M8">
            <v>1.1130434782608694</v>
          </cell>
          <cell r="N8">
            <v>6.005024899733268</v>
          </cell>
          <cell r="O8">
            <v>3.4933637348016</v>
          </cell>
          <cell r="P8">
            <v>5.8801699492983222</v>
          </cell>
          <cell r="Q8">
            <v>0</v>
          </cell>
          <cell r="R8">
            <v>0</v>
          </cell>
          <cell r="S8">
            <v>0.48172671756419122</v>
          </cell>
        </row>
        <row r="9">
          <cell r="K9">
            <v>58.0463768115942</v>
          </cell>
          <cell r="L9">
            <v>0.35217391304347823</v>
          </cell>
          <cell r="M9">
            <v>3.4782608695652173</v>
          </cell>
          <cell r="N9">
            <v>36.378866351995633</v>
          </cell>
          <cell r="O9">
            <v>18.326637571706044</v>
          </cell>
          <cell r="P9">
            <v>11.613414174297937</v>
          </cell>
          <cell r="Q9">
            <v>0</v>
          </cell>
          <cell r="R9">
            <v>0</v>
          </cell>
          <cell r="S9">
            <v>0.94800570025336128</v>
          </cell>
        </row>
        <row r="10">
          <cell r="K10">
            <v>48.768115942028984</v>
          </cell>
          <cell r="L10">
            <v>0.35217391304347823</v>
          </cell>
          <cell r="M10">
            <v>3.4782608695652173</v>
          </cell>
          <cell r="N10">
            <v>60.406228289199035</v>
          </cell>
          <cell r="O10">
            <v>44.190525069810469</v>
          </cell>
          <cell r="P10">
            <v>28.003111220343222</v>
          </cell>
          <cell r="Q10">
            <v>0</v>
          </cell>
          <cell r="R10">
            <v>0</v>
          </cell>
          <cell r="S10">
            <v>0.72038878077013901</v>
          </cell>
        </row>
        <row r="11">
          <cell r="K11">
            <v>44.731884057971008</v>
          </cell>
          <cell r="L11">
            <v>0.35217391304347823</v>
          </cell>
          <cell r="M11">
            <v>2.2260869565217387</v>
          </cell>
          <cell r="N11">
            <v>19.106790144927533</v>
          </cell>
          <cell r="O11">
            <v>10.627540760869568</v>
          </cell>
          <cell r="P11">
            <v>6.7345704866646852</v>
          </cell>
          <cell r="Q11">
            <v>0</v>
          </cell>
          <cell r="R11">
            <v>0</v>
          </cell>
          <cell r="S11">
            <v>0.94560539696185753</v>
          </cell>
        </row>
        <row r="13">
          <cell r="K13" t="str">
            <v>Electric trucks ($1k)</v>
          </cell>
        </row>
        <row r="14">
          <cell r="K14" t="str">
            <v xml:space="preserve">Vehicle purchase price </v>
          </cell>
          <cell r="L14" t="str">
            <v>Compulsory liability insurance for vehicle traffic accidents (CLIVTA)</v>
          </cell>
          <cell r="M14" t="str">
            <v>Vehicle and vessel tax</v>
          </cell>
          <cell r="N14" t="str">
            <v>Fuel cost</v>
          </cell>
          <cell r="O14" t="str">
            <v>Road toll</v>
          </cell>
          <cell r="P14" t="str">
            <v>Maintenance and repair cost</v>
          </cell>
          <cell r="Q14" t="str">
            <v>Subsidy</v>
          </cell>
          <cell r="R14" t="str">
            <v>Residual value</v>
          </cell>
          <cell r="S14" t="str">
            <v>Total cost of ownership of ET ($/km)</v>
          </cell>
        </row>
        <row r="15">
          <cell r="K15">
            <v>28.579710144927532</v>
          </cell>
          <cell r="L15">
            <v>0.44492753623188408</v>
          </cell>
          <cell r="M15">
            <v>0</v>
          </cell>
          <cell r="N15">
            <v>1.2393978338093792</v>
          </cell>
          <cell r="O15">
            <v>1.3281186221293297</v>
          </cell>
          <cell r="P15">
            <v>1.6393978572309764</v>
          </cell>
          <cell r="Q15">
            <v>3.8113838650258098</v>
          </cell>
          <cell r="R15">
            <v>0</v>
          </cell>
          <cell r="S15">
            <v>0.24395636072772128</v>
          </cell>
        </row>
        <row r="16">
          <cell r="K16">
            <v>31.275362318840575</v>
          </cell>
          <cell r="L16">
            <v>0.35217391304347823</v>
          </cell>
          <cell r="M16">
            <v>0</v>
          </cell>
          <cell r="N16">
            <v>0.65475564195845115</v>
          </cell>
          <cell r="O16">
            <v>0</v>
          </cell>
          <cell r="P16">
            <v>0.29917412021149148</v>
          </cell>
          <cell r="Q16">
            <v>3.075196891685736</v>
          </cell>
          <cell r="R16">
            <v>0</v>
          </cell>
          <cell r="S16">
            <v>0.83269446323067164</v>
          </cell>
        </row>
        <row r="17">
          <cell r="K17">
            <v>31.275362318840575</v>
          </cell>
          <cell r="L17">
            <v>0.35217391304347823</v>
          </cell>
          <cell r="M17">
            <v>0</v>
          </cell>
          <cell r="N17">
            <v>0.93101095719800142</v>
          </cell>
          <cell r="O17">
            <v>0.61969920877399154</v>
          </cell>
          <cell r="P17">
            <v>0.76494187948588477</v>
          </cell>
          <cell r="Q17">
            <v>3.1556885524848912</v>
          </cell>
          <cell r="R17">
            <v>0</v>
          </cell>
          <cell r="S17">
            <v>0.41700180759935485</v>
          </cell>
        </row>
        <row r="18">
          <cell r="K18">
            <v>62.521739130434774</v>
          </cell>
          <cell r="L18">
            <v>0.5</v>
          </cell>
          <cell r="M18">
            <v>0</v>
          </cell>
          <cell r="N18">
            <v>1.6296790624489987</v>
          </cell>
          <cell r="O18">
            <v>1.9334922765502496</v>
          </cell>
          <cell r="P18">
            <v>1.627265873935237</v>
          </cell>
          <cell r="Q18">
            <v>5.148411410491935</v>
          </cell>
          <cell r="R18">
            <v>0</v>
          </cell>
          <cell r="S18">
            <v>0.55609530480283276</v>
          </cell>
        </row>
        <row r="19">
          <cell r="K19">
            <v>31.594202898550723</v>
          </cell>
          <cell r="L19">
            <v>0.35217391304347823</v>
          </cell>
          <cell r="M19">
            <v>0</v>
          </cell>
          <cell r="N19">
            <v>1.7749244102628619</v>
          </cell>
          <cell r="O19">
            <v>0</v>
          </cell>
          <cell r="P19">
            <v>0.64324006025643565</v>
          </cell>
          <cell r="Q19">
            <v>7.4606823942288925</v>
          </cell>
          <cell r="R19">
            <v>0</v>
          </cell>
          <cell r="S19">
            <v>0.63303539265158548</v>
          </cell>
        </row>
        <row r="20">
          <cell r="K20">
            <v>54.043478260869556</v>
          </cell>
          <cell r="L20">
            <v>0.35217391304347823</v>
          </cell>
          <cell r="M20">
            <v>0</v>
          </cell>
          <cell r="N20">
            <v>1.3818616061194442</v>
          </cell>
          <cell r="O20">
            <v>1.4870588739731518</v>
          </cell>
          <cell r="P20">
            <v>1.2515385696117529</v>
          </cell>
          <cell r="Q20">
            <v>6.067196511606868</v>
          </cell>
          <cell r="R20">
            <v>0</v>
          </cell>
          <cell r="S20">
            <v>0.58852320641952116</v>
          </cell>
        </row>
        <row r="21">
          <cell r="K21">
            <v>155.30434782608694</v>
          </cell>
          <cell r="L21">
            <v>0.35217391304347823</v>
          </cell>
          <cell r="M21">
            <v>0</v>
          </cell>
          <cell r="N21">
            <v>4.231771558556658</v>
          </cell>
          <cell r="O21">
            <v>10.271174974077223</v>
          </cell>
          <cell r="P21">
            <v>3.4713306192017317</v>
          </cell>
          <cell r="Q21">
            <v>7.9705736308918862</v>
          </cell>
          <cell r="R21">
            <v>0</v>
          </cell>
          <cell r="S21">
            <v>0.79447881454998437</v>
          </cell>
        </row>
        <row r="22">
          <cell r="K22">
            <v>119.56521739130434</v>
          </cell>
          <cell r="L22">
            <v>0.35217391304347823</v>
          </cell>
          <cell r="M22">
            <v>0</v>
          </cell>
          <cell r="N22">
            <v>7.0194294075303691</v>
          </cell>
          <cell r="O22">
            <v>14.082276009316772</v>
          </cell>
          <cell r="P22">
            <v>4.7593616136972798</v>
          </cell>
          <cell r="Q22">
            <v>7.9710144927536231</v>
          </cell>
          <cell r="R22">
            <v>0</v>
          </cell>
          <cell r="S22">
            <v>0.63370120650159145</v>
          </cell>
        </row>
        <row r="23">
          <cell r="K23">
            <v>115.07246376811594</v>
          </cell>
          <cell r="L23">
            <v>0.35217391304347823</v>
          </cell>
          <cell r="M23">
            <v>0</v>
          </cell>
          <cell r="N23">
            <v>4.456164982396956</v>
          </cell>
          <cell r="O23">
            <v>4.9064398052883771</v>
          </cell>
          <cell r="P23">
            <v>3.343186850413236</v>
          </cell>
          <cell r="Q23">
            <v>7.9710144927536231</v>
          </cell>
          <cell r="R23">
            <v>0</v>
          </cell>
          <cell r="S23">
            <v>0.5937290965479014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ew-NEV-EC+CO2"/>
      <sheetName val="renew-ICEV-FC+CO2"/>
      <sheetName val="Figure 1- comparable DT res"/>
      <sheetName val="车辆参数"/>
      <sheetName val="道路能耗效率"/>
      <sheetName val="道路能耗效率-plt"/>
      <sheetName val="Z_C2G CO2 calculation"/>
      <sheetName val="C2G CO2 cal-gradiant EF"/>
      <sheetName val="C2G CO2 plot"/>
      <sheetName val="C2G CO2 100% renewable"/>
      <sheetName val="C2G CO2 for coding-2020"/>
      <sheetName val="C2G CO2 for coding-2030"/>
    </sheetNames>
    <sheetDataSet>
      <sheetData sheetId="0"/>
      <sheetData sheetId="1">
        <row r="10">
          <cell r="I10">
            <v>1547.28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E290-D070-43BF-9EE7-29984D19B0E4}">
  <sheetPr>
    <tabColor rgb="FFFFE593"/>
  </sheetPr>
  <dimension ref="A1:L23"/>
  <sheetViews>
    <sheetView zoomScale="115" zoomScaleNormal="115" workbookViewId="0">
      <selection activeCell="E20" sqref="E20"/>
    </sheetView>
  </sheetViews>
  <sheetFormatPr defaultColWidth="9" defaultRowHeight="13.25" x14ac:dyDescent="0.45"/>
  <cols>
    <col min="1" max="1" width="23.81640625" customWidth="1"/>
    <col min="2" max="2" width="11.1796875" customWidth="1"/>
    <col min="4" max="4" width="11.7265625" customWidth="1"/>
    <col min="5" max="5" width="10.453125" customWidth="1"/>
    <col min="6" max="6" width="12.453125" customWidth="1"/>
    <col min="7" max="7" width="10.6328125" customWidth="1"/>
    <col min="11" max="11" width="11.36328125" customWidth="1"/>
    <col min="12" max="12" width="12.453125" customWidth="1"/>
  </cols>
  <sheetData>
    <row r="1" spans="1:12" ht="14.25" x14ac:dyDescent="0.65">
      <c r="A1" s="24" t="s">
        <v>29</v>
      </c>
      <c r="B1" s="24"/>
    </row>
    <row r="2" spans="1:12" ht="77.25" customHeight="1" x14ac:dyDescent="0.45">
      <c r="A2" s="23" t="s">
        <v>28</v>
      </c>
      <c r="B2" s="23" t="s">
        <v>17</v>
      </c>
      <c r="C2" s="23" t="s">
        <v>9</v>
      </c>
      <c r="D2" s="23" t="s">
        <v>108</v>
      </c>
      <c r="E2" s="23" t="s">
        <v>18</v>
      </c>
      <c r="F2" s="23" t="s">
        <v>19</v>
      </c>
      <c r="G2" s="23" t="s">
        <v>20</v>
      </c>
      <c r="H2" s="23" t="s">
        <v>22</v>
      </c>
      <c r="I2" s="23" t="s">
        <v>21</v>
      </c>
      <c r="J2" s="23" t="s">
        <v>107</v>
      </c>
      <c r="K2" s="23" t="s">
        <v>23</v>
      </c>
      <c r="L2" s="23" t="s">
        <v>24</v>
      </c>
    </row>
    <row r="3" spans="1:12" ht="14.5" x14ac:dyDescent="0.7">
      <c r="A3" s="33" t="s">
        <v>0</v>
      </c>
      <c r="B3" s="6">
        <v>11294.1</v>
      </c>
      <c r="C3" s="7">
        <v>437.80650397619689</v>
      </c>
      <c r="D3" s="7">
        <v>455.25998806697919</v>
      </c>
      <c r="E3" s="7">
        <v>431.28962801307682</v>
      </c>
      <c r="F3" s="7">
        <v>462.045817120425</v>
      </c>
      <c r="G3" s="6">
        <v>17647.400000000001</v>
      </c>
      <c r="H3" s="6">
        <v>4966.3999999999996</v>
      </c>
      <c r="I3" s="7">
        <v>215.65815663410336</v>
      </c>
      <c r="J3" s="7">
        <v>284.98433711994699</v>
      </c>
      <c r="K3" s="7">
        <v>203.65796654252804</v>
      </c>
      <c r="L3" s="7">
        <v>242.89497234368281</v>
      </c>
    </row>
    <row r="4" spans="1:12" ht="14.5" x14ac:dyDescent="0.7">
      <c r="A4" s="33" t="s">
        <v>1</v>
      </c>
      <c r="B4" s="6">
        <v>11651.6</v>
      </c>
      <c r="C4" s="7">
        <v>749.40295751999997</v>
      </c>
      <c r="D4" s="7">
        <v>808.54139955658275</v>
      </c>
      <c r="E4" s="7">
        <v>749.7</v>
      </c>
      <c r="F4" s="7">
        <v>922.74436521826397</v>
      </c>
      <c r="G4" s="6">
        <v>16800.400000000001</v>
      </c>
      <c r="H4" s="6">
        <v>3854.4</v>
      </c>
      <c r="I4" s="7">
        <v>539.10696581322236</v>
      </c>
      <c r="J4" s="7">
        <v>900.76365845540613</v>
      </c>
      <c r="K4" s="7">
        <v>372.59573886773956</v>
      </c>
      <c r="L4" s="7">
        <v>555.90050165426726</v>
      </c>
    </row>
    <row r="5" spans="1:12" ht="14.5" x14ac:dyDescent="0.7">
      <c r="A5" s="33" t="s">
        <v>2</v>
      </c>
      <c r="B5" s="6">
        <v>11023.3</v>
      </c>
      <c r="C5" s="7">
        <v>635.30478191249995</v>
      </c>
      <c r="D5" s="7">
        <v>682.21868003725058</v>
      </c>
      <c r="E5" s="7">
        <v>740.47713350100025</v>
      </c>
      <c r="F5" s="7">
        <v>802.27234869330675</v>
      </c>
      <c r="G5" s="6">
        <v>16330.54</v>
      </c>
      <c r="H5" s="6">
        <v>3850.24</v>
      </c>
      <c r="I5" s="7">
        <v>315.44432078441395</v>
      </c>
      <c r="J5" s="7">
        <v>452.93492297490081</v>
      </c>
      <c r="K5" s="7">
        <v>337.86595230796229</v>
      </c>
      <c r="L5" s="7">
        <v>419.82505703261052</v>
      </c>
    </row>
    <row r="6" spans="1:12" ht="14.5" x14ac:dyDescent="0.7">
      <c r="A6" s="33" t="s">
        <v>8</v>
      </c>
      <c r="B6" s="6">
        <v>15598.8</v>
      </c>
      <c r="C6" s="7">
        <v>508.01536894506614</v>
      </c>
      <c r="D6" s="7">
        <v>529.06927607570958</v>
      </c>
      <c r="E6" s="7">
        <v>522.1599671196301</v>
      </c>
      <c r="F6" s="7">
        <v>562.3458535628813</v>
      </c>
      <c r="G6" s="6">
        <v>22258.5</v>
      </c>
      <c r="H6" s="6">
        <v>6387.2</v>
      </c>
      <c r="I6" s="7">
        <v>254.79638306778537</v>
      </c>
      <c r="J6" s="7">
        <v>374.92233935557397</v>
      </c>
      <c r="K6" s="7">
        <v>228.91160352719012</v>
      </c>
      <c r="L6" s="7">
        <v>287.13935722076468</v>
      </c>
    </row>
    <row r="7" spans="1:12" ht="14.5" x14ac:dyDescent="0.7">
      <c r="A7" s="33" t="s">
        <v>3</v>
      </c>
      <c r="B7" s="6">
        <v>22889.200000000001</v>
      </c>
      <c r="C7" s="7">
        <v>726.38465480437503</v>
      </c>
      <c r="D7" s="7">
        <v>889.09117599320541</v>
      </c>
      <c r="E7" s="7">
        <v>850.39782293812493</v>
      </c>
      <c r="F7" s="7">
        <v>1079.3037364143902</v>
      </c>
      <c r="G7" s="6">
        <v>32474.323534661529</v>
      </c>
      <c r="H7" s="6">
        <v>11200</v>
      </c>
      <c r="I7" s="7">
        <v>816.79853592388372</v>
      </c>
      <c r="J7" s="7">
        <v>1260.1687464421666</v>
      </c>
      <c r="K7" s="7">
        <v>750.53473047177408</v>
      </c>
      <c r="L7" s="7">
        <v>1069.9541499125755</v>
      </c>
    </row>
    <row r="8" spans="1:12" ht="14.5" x14ac:dyDescent="0.7">
      <c r="A8" s="33" t="s">
        <v>4</v>
      </c>
      <c r="B8" s="6">
        <v>16640.3</v>
      </c>
      <c r="C8" s="7">
        <v>556.94975250668483</v>
      </c>
      <c r="D8" s="7">
        <v>606.65482939680714</v>
      </c>
      <c r="E8" s="7">
        <v>587.18798157721142</v>
      </c>
      <c r="F8" s="7">
        <v>674.62323498353737</v>
      </c>
      <c r="G8" s="6">
        <v>23487.960069180288</v>
      </c>
      <c r="H8" s="6">
        <v>6844.8</v>
      </c>
      <c r="I8" s="7">
        <v>393.53995258762001</v>
      </c>
      <c r="J8" s="7">
        <v>558.35639767481393</v>
      </c>
      <c r="K8" s="7">
        <v>337.55272813448914</v>
      </c>
      <c r="L8" s="7">
        <v>432.29454438957805</v>
      </c>
    </row>
    <row r="9" spans="1:12" ht="14.5" x14ac:dyDescent="0.7">
      <c r="A9" s="33" t="s">
        <v>5</v>
      </c>
      <c r="B9" s="6">
        <v>68813.995373917976</v>
      </c>
      <c r="C9" s="7">
        <v>1708.3636718239361</v>
      </c>
      <c r="D9" s="7">
        <v>1812.4386517285509</v>
      </c>
      <c r="E9" s="7">
        <v>1971.3052139325519</v>
      </c>
      <c r="F9" s="7">
        <v>2171.1955704198808</v>
      </c>
      <c r="G9" s="6">
        <v>124954.22733773191</v>
      </c>
      <c r="H9" s="6">
        <v>27852.799999999999</v>
      </c>
      <c r="I9" s="7">
        <v>978.89400378016649</v>
      </c>
      <c r="J9" s="7">
        <v>1316.0905974506495</v>
      </c>
      <c r="K9" s="7">
        <v>898.26035490849233</v>
      </c>
      <c r="L9" s="7">
        <v>1166.892814730397</v>
      </c>
    </row>
    <row r="10" spans="1:12" ht="14.5" x14ac:dyDescent="0.7">
      <c r="A10" s="33" t="s">
        <v>6</v>
      </c>
      <c r="B10" s="6">
        <v>47386.5</v>
      </c>
      <c r="C10" s="7">
        <v>1176.4311498735242</v>
      </c>
      <c r="D10" s="7">
        <v>1206.1531357736367</v>
      </c>
      <c r="E10" s="7">
        <v>1151.3691244092165</v>
      </c>
      <c r="F10" s="7">
        <v>1199.6532651095229</v>
      </c>
      <c r="G10" s="6">
        <v>84319.180000000008</v>
      </c>
      <c r="H10" s="6">
        <v>18042.88</v>
      </c>
      <c r="I10" s="7">
        <v>819.64582976025326</v>
      </c>
      <c r="J10" s="7">
        <v>985.60676568961003</v>
      </c>
      <c r="K10" s="7">
        <v>799.3611461238653</v>
      </c>
      <c r="L10" s="7">
        <v>930.52392638229412</v>
      </c>
    </row>
    <row r="11" spans="1:12" ht="14.5" x14ac:dyDescent="0.7">
      <c r="A11" s="33" t="s">
        <v>7</v>
      </c>
      <c r="B11" s="6">
        <v>68813.995373917976</v>
      </c>
      <c r="C11" s="34">
        <f>'[2]renew-ICEV-FC+CO2'!$I$10</f>
        <v>1547.28</v>
      </c>
      <c r="D11" s="7">
        <v>1726.7518533583307</v>
      </c>
      <c r="E11" s="7">
        <v>976.5</v>
      </c>
      <c r="F11" s="7">
        <v>1891.7221581426929</v>
      </c>
      <c r="G11" s="6">
        <v>121211.62312511101</v>
      </c>
      <c r="H11" s="6">
        <v>24768</v>
      </c>
      <c r="I11" s="7">
        <v>875.84101093762729</v>
      </c>
      <c r="J11" s="7">
        <v>1215.4755281379867</v>
      </c>
      <c r="K11" s="7">
        <v>855.59756546350297</v>
      </c>
      <c r="L11" s="7">
        <v>1109.5212550278591</v>
      </c>
    </row>
    <row r="13" spans="1:12" ht="14.25" x14ac:dyDescent="0.65">
      <c r="A13" s="24" t="s">
        <v>30</v>
      </c>
      <c r="B13" s="24"/>
    </row>
    <row r="14" spans="1:12" ht="72.5" x14ac:dyDescent="0.45">
      <c r="A14" s="3" t="s">
        <v>28</v>
      </c>
      <c r="B14" s="4" t="s">
        <v>11</v>
      </c>
      <c r="C14" s="4" t="s">
        <v>10</v>
      </c>
      <c r="D14" s="4" t="s">
        <v>105</v>
      </c>
      <c r="E14" s="4" t="s">
        <v>13</v>
      </c>
      <c r="F14" s="4" t="s">
        <v>14</v>
      </c>
      <c r="G14" s="4" t="s">
        <v>12</v>
      </c>
      <c r="H14" s="4" t="s">
        <v>26</v>
      </c>
      <c r="I14" s="4" t="s">
        <v>25</v>
      </c>
      <c r="J14" s="4" t="s">
        <v>106</v>
      </c>
      <c r="K14" s="4" t="s">
        <v>15</v>
      </c>
      <c r="L14" s="4" t="s">
        <v>16</v>
      </c>
    </row>
    <row r="15" spans="1:12" ht="14.5" x14ac:dyDescent="0.7">
      <c r="A15" s="5" t="s">
        <v>0</v>
      </c>
      <c r="B15" s="6">
        <v>10003.092969067831</v>
      </c>
      <c r="C15" s="7">
        <v>372.13552837976732</v>
      </c>
      <c r="D15" s="7">
        <v>387.59393799135586</v>
      </c>
      <c r="E15" s="7">
        <v>366.59618381111528</v>
      </c>
      <c r="F15" s="7">
        <v>393.83669159969827</v>
      </c>
      <c r="G15" s="6">
        <v>14895.036590894342</v>
      </c>
      <c r="H15" s="7">
        <v>4966.3999999999996</v>
      </c>
      <c r="I15" s="7">
        <v>109.99436508115944</v>
      </c>
      <c r="J15" s="7">
        <v>174.98936611281741</v>
      </c>
      <c r="K15" s="7">
        <v>109.99436508115944</v>
      </c>
      <c r="L15" s="7">
        <v>143.11180091450223</v>
      </c>
    </row>
    <row r="16" spans="1:12" ht="14.5" x14ac:dyDescent="0.7">
      <c r="A16" s="5" t="s">
        <v>1</v>
      </c>
      <c r="B16" s="6">
        <v>10411.415839820278</v>
      </c>
      <c r="C16" s="7">
        <v>636.99251389199992</v>
      </c>
      <c r="D16" s="7">
        <v>689.83632179494634</v>
      </c>
      <c r="E16" s="7">
        <v>637.245</v>
      </c>
      <c r="F16" s="7">
        <v>791.87070333903307</v>
      </c>
      <c r="G16" s="6">
        <v>14071.793047828049</v>
      </c>
      <c r="H16" s="7">
        <v>3854.4</v>
      </c>
      <c r="I16" s="7">
        <v>201.23657534479159</v>
      </c>
      <c r="J16" s="7">
        <v>594.08709097415908</v>
      </c>
      <c r="K16" s="7">
        <v>201.23657534479159</v>
      </c>
      <c r="L16" s="7">
        <v>354.77022255635978</v>
      </c>
    </row>
    <row r="17" spans="1:12" ht="14.5" x14ac:dyDescent="0.7">
      <c r="A17" s="5" t="s">
        <v>2</v>
      </c>
      <c r="B17" s="6">
        <v>9921.9692199117162</v>
      </c>
      <c r="C17" s="7">
        <v>540.00906462562489</v>
      </c>
      <c r="D17" s="7">
        <v>582.23582550302547</v>
      </c>
      <c r="E17" s="7">
        <v>629.40556347585016</v>
      </c>
      <c r="F17" s="7">
        <v>685.02685864842886</v>
      </c>
      <c r="G17" s="6">
        <v>13721.507758390959</v>
      </c>
      <c r="H17" s="7">
        <v>3850.24</v>
      </c>
      <c r="I17" s="7">
        <v>182.47923976445637</v>
      </c>
      <c r="J17" s="7">
        <v>285.89401488609678</v>
      </c>
      <c r="K17" s="7">
        <v>182.47923976445637</v>
      </c>
      <c r="L17" s="7">
        <v>251.34423083946291</v>
      </c>
    </row>
    <row r="18" spans="1:12" ht="14.5" x14ac:dyDescent="0.7">
      <c r="A18" s="5" t="s">
        <v>8</v>
      </c>
      <c r="B18" s="6">
        <v>13486.005932837046</v>
      </c>
      <c r="C18" s="7">
        <v>431.8130636033062</v>
      </c>
      <c r="D18" s="7">
        <v>450.01530457525644</v>
      </c>
      <c r="E18" s="7">
        <v>443.83597205168559</v>
      </c>
      <c r="F18" s="7">
        <v>478.57884348987329</v>
      </c>
      <c r="G18" s="6">
        <v>18778.871799706321</v>
      </c>
      <c r="H18" s="7">
        <v>6387.2</v>
      </c>
      <c r="I18" s="7">
        <v>123.63369288785213</v>
      </c>
      <c r="J18" s="7">
        <v>238.96079492333826</v>
      </c>
      <c r="K18" s="7">
        <v>123.63369288785213</v>
      </c>
      <c r="L18" s="7">
        <v>172.75881460748789</v>
      </c>
    </row>
    <row r="19" spans="1:12" ht="14.5" x14ac:dyDescent="0.7">
      <c r="A19" s="5" t="s">
        <v>3</v>
      </c>
      <c r="B19" s="6">
        <v>19164.668373765118</v>
      </c>
      <c r="C19" s="7">
        <v>617.42695658371872</v>
      </c>
      <c r="D19" s="7">
        <v>753.65786552037537</v>
      </c>
      <c r="E19" s="7">
        <v>722.83814949740622</v>
      </c>
      <c r="F19" s="7">
        <v>914.4964827098554</v>
      </c>
      <c r="G19" s="6">
        <v>27607.490074943245</v>
      </c>
      <c r="H19" s="7">
        <v>11200</v>
      </c>
      <c r="I19" s="7">
        <v>405.35900731564453</v>
      </c>
      <c r="J19" s="7">
        <v>818.07125716818916</v>
      </c>
      <c r="K19" s="7">
        <v>405.35900731564453</v>
      </c>
      <c r="L19" s="7">
        <v>676.90795713576176</v>
      </c>
    </row>
    <row r="20" spans="1:12" ht="14.5" x14ac:dyDescent="0.7">
      <c r="A20" s="5" t="s">
        <v>4</v>
      </c>
      <c r="B20" s="6">
        <v>14297.243424398202</v>
      </c>
      <c r="C20" s="7">
        <v>473.4072896306821</v>
      </c>
      <c r="D20" s="7">
        <v>516.1135860151528</v>
      </c>
      <c r="E20" s="7">
        <v>499.10978434062969</v>
      </c>
      <c r="F20" s="7">
        <v>574.23361635232322</v>
      </c>
      <c r="G20" s="6">
        <v>19810.16012474017</v>
      </c>
      <c r="H20" s="7">
        <v>6844.8</v>
      </c>
      <c r="I20" s="7">
        <v>182.31006939182549</v>
      </c>
      <c r="J20" s="7">
        <v>351.55751028711336</v>
      </c>
      <c r="K20" s="7">
        <v>182.31006939182549</v>
      </c>
      <c r="L20" s="7">
        <v>262.21698957535943</v>
      </c>
    </row>
    <row r="21" spans="1:12" ht="14.5" x14ac:dyDescent="0.7">
      <c r="A21" s="5" t="s">
        <v>5</v>
      </c>
      <c r="B21" s="6">
        <v>58394.717552625705</v>
      </c>
      <c r="C21" s="7">
        <v>1452.1091210503457</v>
      </c>
      <c r="D21" s="7">
        <v>1540.4258802037994</v>
      </c>
      <c r="E21" s="7">
        <v>1675.609431842669</v>
      </c>
      <c r="F21" s="7">
        <v>1845.2339514646674</v>
      </c>
      <c r="G21" s="6">
        <v>105248.03379809562</v>
      </c>
      <c r="H21" s="7">
        <v>27852.799999999999</v>
      </c>
      <c r="I21" s="7">
        <v>485.14467218302656</v>
      </c>
      <c r="J21" s="7">
        <v>812.71262024722023</v>
      </c>
      <c r="K21" s="7">
        <v>485.14467218302656</v>
      </c>
      <c r="L21" s="7">
        <v>711.41183267039253</v>
      </c>
    </row>
    <row r="22" spans="1:12" ht="14.5" x14ac:dyDescent="0.7">
      <c r="A22" s="5" t="s">
        <v>6</v>
      </c>
      <c r="B22" s="6">
        <v>40422.535848807871</v>
      </c>
      <c r="C22" s="7">
        <v>999.96647739249556</v>
      </c>
      <c r="D22" s="7">
        <v>1025.3204925770958</v>
      </c>
      <c r="E22" s="7">
        <v>978.66375574783399</v>
      </c>
      <c r="F22" s="7">
        <v>1019.8520141840346</v>
      </c>
      <c r="G22" s="6">
        <v>70986.58</v>
      </c>
      <c r="H22" s="7">
        <v>18042.88</v>
      </c>
      <c r="I22" s="7">
        <v>431.72984210309232</v>
      </c>
      <c r="J22" s="7">
        <v>582.40456184011646</v>
      </c>
      <c r="K22" s="7">
        <v>431.72984210309232</v>
      </c>
      <c r="L22" s="7">
        <v>542.15308381200578</v>
      </c>
    </row>
    <row r="23" spans="1:12" ht="14.5" x14ac:dyDescent="0.7">
      <c r="A23" s="8" t="s">
        <v>7</v>
      </c>
      <c r="B23" s="6">
        <v>58394.717552625705</v>
      </c>
      <c r="C23" s="7">
        <v>1315.1879999999999</v>
      </c>
      <c r="D23" s="7">
        <v>1467.4856267917471</v>
      </c>
      <c r="E23" s="7">
        <v>1309.0579378299121</v>
      </c>
      <c r="F23" s="7">
        <v>1607.4672317605896</v>
      </c>
      <c r="G23" s="6">
        <v>102163.23379809562</v>
      </c>
      <c r="H23" s="7">
        <v>24768</v>
      </c>
      <c r="I23" s="7">
        <v>462.10277248590432</v>
      </c>
      <c r="J23" s="7">
        <v>759.29712905284362</v>
      </c>
      <c r="K23" s="7">
        <v>465.57911894030508</v>
      </c>
      <c r="L23" s="7">
        <v>676.12239036580149</v>
      </c>
    </row>
  </sheetData>
  <mergeCells count="2">
    <mergeCell ref="A13:B13"/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7EBA-BD0B-4357-87E6-16AC8E91FAC2}">
  <sheetPr>
    <tabColor rgb="FFFFE593"/>
  </sheetPr>
  <dimension ref="A1:S11"/>
  <sheetViews>
    <sheetView zoomScale="115" zoomScaleNormal="115" workbookViewId="0">
      <selection activeCell="K8" sqref="K8"/>
    </sheetView>
  </sheetViews>
  <sheetFormatPr defaultRowHeight="13.25" x14ac:dyDescent="0.45"/>
  <cols>
    <col min="1" max="1" width="18.36328125" customWidth="1"/>
    <col min="2" max="2" width="11.08984375" customWidth="1"/>
    <col min="3" max="3" width="16.36328125" customWidth="1"/>
    <col min="4" max="11" width="11.08984375" customWidth="1"/>
    <col min="12" max="12" width="17.1796875" customWidth="1"/>
    <col min="13" max="19" width="11.08984375" customWidth="1"/>
  </cols>
  <sheetData>
    <row r="1" spans="1:19" ht="15" customHeight="1" x14ac:dyDescent="0.45">
      <c r="A1" s="29" t="s">
        <v>27</v>
      </c>
      <c r="B1" s="25" t="str">
        <f>'[1]TCO for SI'!K1</f>
        <v>Diesel trucks ($1k)</v>
      </c>
      <c r="C1" s="26">
        <f>'[1]TCO for SI'!L1</f>
        <v>0</v>
      </c>
      <c r="D1" s="26">
        <f>'[1]TCO for SI'!M1</f>
        <v>0</v>
      </c>
      <c r="E1" s="26">
        <f>'[1]TCO for SI'!N1</f>
        <v>0</v>
      </c>
      <c r="F1" s="26">
        <f>'[1]TCO for SI'!O1</f>
        <v>0</v>
      </c>
      <c r="G1" s="26">
        <f>'[1]TCO for SI'!P1</f>
        <v>0</v>
      </c>
      <c r="H1" s="26">
        <f>'[1]TCO for SI'!Q1</f>
        <v>0</v>
      </c>
      <c r="I1" s="26">
        <f>'[1]TCO for SI'!R1</f>
        <v>0</v>
      </c>
      <c r="J1" s="27" t="str">
        <f>'[1]TCO for SI'!S2</f>
        <v>Total cost of ownership of DT ($/km)</v>
      </c>
      <c r="K1" s="25" t="str">
        <f>'[1]TCO for SI'!K13</f>
        <v>Electric trucks ($1k)</v>
      </c>
      <c r="L1" s="26">
        <f>'[1]TCO for SI'!L13</f>
        <v>0</v>
      </c>
      <c r="M1" s="26">
        <f>'[1]TCO for SI'!M13</f>
        <v>0</v>
      </c>
      <c r="N1" s="26">
        <f>'[1]TCO for SI'!N13</f>
        <v>0</v>
      </c>
      <c r="O1" s="26">
        <f>'[1]TCO for SI'!O13</f>
        <v>0</v>
      </c>
      <c r="P1" s="26">
        <f>'[1]TCO for SI'!P13</f>
        <v>0</v>
      </c>
      <c r="Q1" s="26">
        <f>'[1]TCO for SI'!Q13</f>
        <v>0</v>
      </c>
      <c r="R1" s="26">
        <f>'[1]TCO for SI'!R13</f>
        <v>0</v>
      </c>
      <c r="S1" s="27" t="str">
        <f>'[1]TCO for SI'!S14</f>
        <v>Total cost of ownership of ET ($/km)</v>
      </c>
    </row>
    <row r="2" spans="1:19" ht="72.5" x14ac:dyDescent="0.45">
      <c r="A2" s="29"/>
      <c r="B2" s="1" t="str">
        <f>'[1]TCO for SI'!K2</f>
        <v xml:space="preserve">Vehicle purchase price </v>
      </c>
      <c r="C2" s="4" t="str">
        <f>'[1]TCO for SI'!L2</f>
        <v>Compulsory liability insurance for vehicle traffic accidents (CLIVTA)</v>
      </c>
      <c r="D2" s="4" t="str">
        <f>'[1]TCO for SI'!M2</f>
        <v>Vehicle and vessel tax</v>
      </c>
      <c r="E2" s="4" t="str">
        <f>'[1]TCO for SI'!N2</f>
        <v>Fuel cost</v>
      </c>
      <c r="F2" s="4" t="str">
        <f>'[1]TCO for SI'!O2</f>
        <v>Road toll</v>
      </c>
      <c r="G2" s="4" t="str">
        <f>'[1]TCO for SI'!P2</f>
        <v>Maintenance and repair cost</v>
      </c>
      <c r="H2" s="4" t="str">
        <f>'[1]TCO for SI'!Q2</f>
        <v>Subsidy</v>
      </c>
      <c r="I2" s="4" t="str">
        <f>'[1]TCO for SI'!R2</f>
        <v>Residual value</v>
      </c>
      <c r="J2" s="28"/>
      <c r="K2" s="1" t="str">
        <f>'[1]TCO for SI'!K14</f>
        <v xml:space="preserve">Vehicle purchase price </v>
      </c>
      <c r="L2" s="4" t="str">
        <f>'[1]TCO for SI'!L14</f>
        <v>Compulsory liability insurance for vehicle traffic accidents (CLIVTA)</v>
      </c>
      <c r="M2" s="4" t="str">
        <f>'[1]TCO for SI'!M14</f>
        <v>Vehicle and vessel tax</v>
      </c>
      <c r="N2" s="4" t="str">
        <f>'[1]TCO for SI'!N14</f>
        <v>Fuel cost</v>
      </c>
      <c r="O2" s="4" t="str">
        <f>'[1]TCO for SI'!O14</f>
        <v>Road toll</v>
      </c>
      <c r="P2" s="4" t="str">
        <f>'[1]TCO for SI'!P14</f>
        <v>Maintenance and repair cost</v>
      </c>
      <c r="Q2" s="4" t="str">
        <f>'[1]TCO for SI'!Q14</f>
        <v>Subsidy</v>
      </c>
      <c r="R2" s="4" t="str">
        <f>'[1]TCO for SI'!R14</f>
        <v>Residual value</v>
      </c>
      <c r="S2" s="28"/>
    </row>
    <row r="3" spans="1:19" ht="14.5" x14ac:dyDescent="0.7">
      <c r="A3" s="10" t="s">
        <v>0</v>
      </c>
      <c r="B3" s="11">
        <f>'[1]TCO for SI'!K3</f>
        <v>18.231884057971012</v>
      </c>
      <c r="C3" s="9">
        <f>'[1]TCO for SI'!L3</f>
        <v>0.44492753623188408</v>
      </c>
      <c r="D3" s="7">
        <f>'[1]TCO for SI'!M3</f>
        <v>0.55652173913043468</v>
      </c>
      <c r="E3" s="7">
        <f>'[1]TCO for SI'!N3</f>
        <v>9.1241013098981778</v>
      </c>
      <c r="F3" s="7">
        <f>'[1]TCO for SI'!O3</f>
        <v>3.3761590994634205</v>
      </c>
      <c r="G3" s="7">
        <f>'[1]TCO for SI'!P3</f>
        <v>9.4714773438092283</v>
      </c>
      <c r="H3" s="2">
        <f>'[1]TCO for SI'!Q3</f>
        <v>0</v>
      </c>
      <c r="I3" s="2">
        <f>'[1]TCO for SI'!R3</f>
        <v>0</v>
      </c>
      <c r="J3" s="12">
        <f>'[1]TCO for SI'!S3</f>
        <v>0.31590449119475489</v>
      </c>
      <c r="K3" s="11">
        <f>'[1]TCO for SI'!K15</f>
        <v>28.579710144927532</v>
      </c>
      <c r="L3" s="9">
        <f>'[1]TCO for SI'!L15</f>
        <v>0.44492753623188408</v>
      </c>
      <c r="M3" s="2">
        <f>'[1]TCO for SI'!M15</f>
        <v>0</v>
      </c>
      <c r="N3" s="7">
        <f>'[1]TCO for SI'!N15</f>
        <v>1.2393978338093792</v>
      </c>
      <c r="O3" s="7">
        <f>'[1]TCO for SI'!O15</f>
        <v>1.3281186221293297</v>
      </c>
      <c r="P3" s="7">
        <f>'[1]TCO for SI'!P15</f>
        <v>1.6393978572309764</v>
      </c>
      <c r="Q3" s="7">
        <f>'[1]TCO for SI'!Q15</f>
        <v>3.8113838650258098</v>
      </c>
      <c r="R3" s="2">
        <f>'[1]TCO for SI'!R15</f>
        <v>0</v>
      </c>
      <c r="S3" s="12">
        <f>'[1]TCO for SI'!S15</f>
        <v>0.24395636072772128</v>
      </c>
    </row>
    <row r="4" spans="1:19" ht="14.5" x14ac:dyDescent="0.7">
      <c r="A4" s="10" t="s">
        <v>1</v>
      </c>
      <c r="B4" s="11">
        <f>'[1]TCO for SI'!K4</f>
        <v>14.32463768115942</v>
      </c>
      <c r="C4" s="9">
        <f>'[1]TCO for SI'!L4</f>
        <v>0.35217391304347823</v>
      </c>
      <c r="D4" s="7">
        <f>'[1]TCO for SI'!M4</f>
        <v>0.55652173913043468</v>
      </c>
      <c r="E4" s="7">
        <f>'[1]TCO for SI'!N4</f>
        <v>4.7552076444540843</v>
      </c>
      <c r="F4" s="2">
        <f>'[1]TCO for SI'!O4</f>
        <v>0</v>
      </c>
      <c r="G4" s="7">
        <f>'[1]TCO for SI'!P4</f>
        <v>2.8837919036713773</v>
      </c>
      <c r="H4" s="2">
        <f>'[1]TCO for SI'!Q4</f>
        <v>0</v>
      </c>
      <c r="I4" s="2">
        <f>'[1]TCO for SI'!R4</f>
        <v>0</v>
      </c>
      <c r="J4" s="12">
        <f>'[1]TCO for SI'!S4</f>
        <v>0.42814711507092285</v>
      </c>
      <c r="K4" s="11">
        <f>'[1]TCO for SI'!K16</f>
        <v>31.275362318840575</v>
      </c>
      <c r="L4" s="9">
        <f>'[1]TCO for SI'!L16</f>
        <v>0.35217391304347823</v>
      </c>
      <c r="M4" s="2">
        <f>'[1]TCO for SI'!M16</f>
        <v>0</v>
      </c>
      <c r="N4" s="7">
        <f>'[1]TCO for SI'!N16</f>
        <v>0.65475564195845115</v>
      </c>
      <c r="O4" s="2">
        <f>'[1]TCO for SI'!O16</f>
        <v>0</v>
      </c>
      <c r="P4" s="7">
        <f>'[1]TCO for SI'!P16</f>
        <v>0.29917412021149148</v>
      </c>
      <c r="Q4" s="7">
        <f>'[1]TCO for SI'!Q16</f>
        <v>3.075196891685736</v>
      </c>
      <c r="R4" s="2">
        <f>'[1]TCO for SI'!R16</f>
        <v>0</v>
      </c>
      <c r="S4" s="12">
        <f>'[1]TCO for SI'!S16</f>
        <v>0.83269446323067164</v>
      </c>
    </row>
    <row r="5" spans="1:19" ht="14.5" x14ac:dyDescent="0.7">
      <c r="A5" s="10" t="s">
        <v>2</v>
      </c>
      <c r="B5" s="11">
        <f>'[1]TCO for SI'!K5</f>
        <v>16.028985507246379</v>
      </c>
      <c r="C5" s="9">
        <f>'[1]TCO for SI'!L5</f>
        <v>0.35217391304347823</v>
      </c>
      <c r="D5" s="7">
        <f>'[1]TCO for SI'!M5</f>
        <v>0.55652173913043468</v>
      </c>
      <c r="E5" s="7">
        <f>'[1]TCO for SI'!N5</f>
        <v>4.8076254581321329</v>
      </c>
      <c r="F5" s="7">
        <f>'[1]TCO for SI'!O5</f>
        <v>1.2259239130434783</v>
      </c>
      <c r="G5" s="7">
        <f>'[1]TCO for SI'!P5</f>
        <v>3.4392071657614327</v>
      </c>
      <c r="H5" s="2">
        <f>'[1]TCO for SI'!Q5</f>
        <v>0</v>
      </c>
      <c r="I5" s="2">
        <f>'[1]TCO for SI'!R5</f>
        <v>0</v>
      </c>
      <c r="J5" s="12">
        <f>'[1]TCO for SI'!S5</f>
        <v>0.429613511026606</v>
      </c>
      <c r="K5" s="11">
        <f>'[1]TCO for SI'!K17</f>
        <v>31.275362318840575</v>
      </c>
      <c r="L5" s="9">
        <f>'[1]TCO for SI'!L17</f>
        <v>0.35217391304347823</v>
      </c>
      <c r="M5" s="2">
        <f>'[1]TCO for SI'!M17</f>
        <v>0</v>
      </c>
      <c r="N5" s="7">
        <f>'[1]TCO for SI'!N17</f>
        <v>0.93101095719800142</v>
      </c>
      <c r="O5" s="7">
        <f>'[1]TCO for SI'!O17</f>
        <v>0.61969920877399154</v>
      </c>
      <c r="P5" s="7">
        <f>'[1]TCO for SI'!P17</f>
        <v>0.76494187948588477</v>
      </c>
      <c r="Q5" s="7">
        <f>'[1]TCO for SI'!Q17</f>
        <v>3.1556885524848912</v>
      </c>
      <c r="R5" s="2">
        <f>'[1]TCO for SI'!R17</f>
        <v>0</v>
      </c>
      <c r="S5" s="12">
        <f>'[1]TCO for SI'!S17</f>
        <v>0.41700180759935485</v>
      </c>
    </row>
    <row r="6" spans="1:19" ht="14.5" x14ac:dyDescent="0.7">
      <c r="A6" s="10" t="s">
        <v>8</v>
      </c>
      <c r="B6" s="11">
        <f>'[1]TCO for SI'!K6</f>
        <v>21.340579710144926</v>
      </c>
      <c r="C6" s="9">
        <f>'[1]TCO for SI'!L6</f>
        <v>0.5</v>
      </c>
      <c r="D6" s="7">
        <f>'[1]TCO for SI'!M6</f>
        <v>1.1130434782608694</v>
      </c>
      <c r="E6" s="7">
        <f>'[1]TCO for SI'!N6</f>
        <v>12.121984755979831</v>
      </c>
      <c r="F6" s="7">
        <f>'[1]TCO for SI'!O6</f>
        <v>7.7311107124441447</v>
      </c>
      <c r="G6" s="7">
        <f>'[1]TCO for SI'!P6</f>
        <v>13.013315628466682</v>
      </c>
      <c r="H6" s="2">
        <f>'[1]TCO for SI'!Q6</f>
        <v>0</v>
      </c>
      <c r="I6" s="2">
        <f>'[1]TCO for SI'!R6</f>
        <v>0</v>
      </c>
      <c r="J6" s="12">
        <f>'[1]TCO for SI'!S6</f>
        <v>0.40515863541447222</v>
      </c>
      <c r="K6" s="11">
        <f>'[1]TCO for SI'!K18</f>
        <v>62.521739130434774</v>
      </c>
      <c r="L6" s="9">
        <f>'[1]TCO for SI'!L18</f>
        <v>0.5</v>
      </c>
      <c r="M6" s="2">
        <f>'[1]TCO for SI'!M18</f>
        <v>0</v>
      </c>
      <c r="N6" s="7">
        <f>'[1]TCO for SI'!N18</f>
        <v>1.6296790624489987</v>
      </c>
      <c r="O6" s="7">
        <f>'[1]TCO for SI'!O18</f>
        <v>1.9334922765502496</v>
      </c>
      <c r="P6" s="7">
        <f>'[1]TCO for SI'!P18</f>
        <v>1.627265873935237</v>
      </c>
      <c r="Q6" s="7">
        <f>'[1]TCO for SI'!Q18</f>
        <v>5.148411410491935</v>
      </c>
      <c r="R6" s="2">
        <f>'[1]TCO for SI'!R18</f>
        <v>0</v>
      </c>
      <c r="S6" s="12">
        <f>'[1]TCO for SI'!S18</f>
        <v>0.55609530480283276</v>
      </c>
    </row>
    <row r="7" spans="1:19" ht="14.5" x14ac:dyDescent="0.7">
      <c r="A7" s="10" t="s">
        <v>3</v>
      </c>
      <c r="B7" s="11">
        <f>'[1]TCO for SI'!K7</f>
        <v>24.95652173913043</v>
      </c>
      <c r="C7" s="9">
        <f>'[1]TCO for SI'!L7</f>
        <v>0.35217391304347823</v>
      </c>
      <c r="D7" s="7">
        <f>'[1]TCO for SI'!M7</f>
        <v>1.1130434782608694</v>
      </c>
      <c r="E7" s="7">
        <f>'[1]TCO for SI'!N7</f>
        <v>3.2910214338237544</v>
      </c>
      <c r="F7" s="2">
        <f>'[1]TCO for SI'!O7</f>
        <v>0</v>
      </c>
      <c r="G7" s="7">
        <f>'[1]TCO for SI'!P7</f>
        <v>2.4708997808762945</v>
      </c>
      <c r="H7" s="2">
        <f>'[1]TCO for SI'!Q7</f>
        <v>0</v>
      </c>
      <c r="I7" s="2">
        <f>'[1]TCO for SI'!R7</f>
        <v>0</v>
      </c>
      <c r="J7" s="12">
        <f>'[1]TCO for SI'!S7</f>
        <v>0.60742940297197157</v>
      </c>
      <c r="K7" s="11">
        <f>'[1]TCO for SI'!K19</f>
        <v>31.594202898550723</v>
      </c>
      <c r="L7" s="9">
        <f>'[1]TCO for SI'!L19</f>
        <v>0.35217391304347823</v>
      </c>
      <c r="M7" s="2">
        <f>'[1]TCO for SI'!M19</f>
        <v>0</v>
      </c>
      <c r="N7" s="7">
        <f>'[1]TCO for SI'!N19</f>
        <v>1.7749244102628619</v>
      </c>
      <c r="O7" s="2">
        <f>'[1]TCO for SI'!O19</f>
        <v>0</v>
      </c>
      <c r="P7" s="7">
        <f>'[1]TCO for SI'!P19</f>
        <v>0.64324006025643565</v>
      </c>
      <c r="Q7" s="7">
        <f>'[1]TCO for SI'!Q19</f>
        <v>7.4606823942288925</v>
      </c>
      <c r="R7" s="2">
        <f>'[1]TCO for SI'!R19</f>
        <v>0</v>
      </c>
      <c r="S7" s="12">
        <f>'[1]TCO for SI'!S19</f>
        <v>0.63303539265158548</v>
      </c>
    </row>
    <row r="8" spans="1:19" ht="14.5" x14ac:dyDescent="0.7">
      <c r="A8" s="10" t="s">
        <v>4</v>
      </c>
      <c r="B8" s="11">
        <f>'[1]TCO for SI'!K8</f>
        <v>23.724637681159422</v>
      </c>
      <c r="C8" s="9">
        <f>'[1]TCO for SI'!L8</f>
        <v>0.35217391304347823</v>
      </c>
      <c r="D8" s="7">
        <f>'[1]TCO for SI'!M8</f>
        <v>1.1130434782608694</v>
      </c>
      <c r="E8" s="7">
        <f>'[1]TCO for SI'!N8</f>
        <v>6.005024899733268</v>
      </c>
      <c r="F8" s="7">
        <f>'[1]TCO for SI'!O8</f>
        <v>3.4933637348016</v>
      </c>
      <c r="G8" s="7">
        <f>'[1]TCO for SI'!P8</f>
        <v>5.8801699492983222</v>
      </c>
      <c r="H8" s="2">
        <f>'[1]TCO for SI'!Q8</f>
        <v>0</v>
      </c>
      <c r="I8" s="2">
        <f>'[1]TCO for SI'!R8</f>
        <v>0</v>
      </c>
      <c r="J8" s="12">
        <f>'[1]TCO for SI'!S8</f>
        <v>0.48172671756419122</v>
      </c>
      <c r="K8" s="11">
        <f>'[1]TCO for SI'!K20</f>
        <v>54.043478260869556</v>
      </c>
      <c r="L8" s="9">
        <f>'[1]TCO for SI'!L20</f>
        <v>0.35217391304347823</v>
      </c>
      <c r="M8" s="2">
        <f>'[1]TCO for SI'!M20</f>
        <v>0</v>
      </c>
      <c r="N8" s="7">
        <f>'[1]TCO for SI'!N20</f>
        <v>1.3818616061194442</v>
      </c>
      <c r="O8" s="7">
        <f>'[1]TCO for SI'!O20</f>
        <v>1.4870588739731518</v>
      </c>
      <c r="P8" s="7">
        <f>'[1]TCO for SI'!P20</f>
        <v>1.2515385696117529</v>
      </c>
      <c r="Q8" s="7">
        <f>'[1]TCO for SI'!Q20</f>
        <v>6.067196511606868</v>
      </c>
      <c r="R8" s="2">
        <f>'[1]TCO for SI'!R20</f>
        <v>0</v>
      </c>
      <c r="S8" s="12">
        <f>'[1]TCO for SI'!S20</f>
        <v>0.58852320641952116</v>
      </c>
    </row>
    <row r="9" spans="1:19" ht="14.5" x14ac:dyDescent="0.7">
      <c r="A9" s="10" t="s">
        <v>5</v>
      </c>
      <c r="B9" s="11">
        <f>'[1]TCO for SI'!K9</f>
        <v>58.0463768115942</v>
      </c>
      <c r="C9" s="9">
        <f>'[1]TCO for SI'!L9</f>
        <v>0.35217391304347823</v>
      </c>
      <c r="D9" s="7">
        <f>'[1]TCO for SI'!M9</f>
        <v>3.4782608695652173</v>
      </c>
      <c r="E9" s="7">
        <f>'[1]TCO for SI'!N9</f>
        <v>36.378866351995633</v>
      </c>
      <c r="F9" s="7">
        <f>'[1]TCO for SI'!O9</f>
        <v>18.326637571706044</v>
      </c>
      <c r="G9" s="7">
        <f>'[1]TCO for SI'!P9</f>
        <v>11.613414174297937</v>
      </c>
      <c r="H9" s="2">
        <f>'[1]TCO for SI'!Q9</f>
        <v>0</v>
      </c>
      <c r="I9" s="2">
        <f>'[1]TCO for SI'!R9</f>
        <v>0</v>
      </c>
      <c r="J9" s="12">
        <f>'[1]TCO for SI'!S9</f>
        <v>0.94800570025336128</v>
      </c>
      <c r="K9" s="11">
        <f>'[1]TCO for SI'!K21</f>
        <v>155.30434782608694</v>
      </c>
      <c r="L9" s="9">
        <f>'[1]TCO for SI'!L21</f>
        <v>0.35217391304347823</v>
      </c>
      <c r="M9" s="2">
        <f>'[1]TCO for SI'!M21</f>
        <v>0</v>
      </c>
      <c r="N9" s="7">
        <f>'[1]TCO for SI'!N21</f>
        <v>4.231771558556658</v>
      </c>
      <c r="O9" s="7">
        <f>'[1]TCO for SI'!O21</f>
        <v>10.271174974077223</v>
      </c>
      <c r="P9" s="7">
        <f>'[1]TCO for SI'!P21</f>
        <v>3.4713306192017317</v>
      </c>
      <c r="Q9" s="7">
        <f>'[1]TCO for SI'!Q21</f>
        <v>7.9705736308918862</v>
      </c>
      <c r="R9" s="2">
        <f>'[1]TCO for SI'!R21</f>
        <v>0</v>
      </c>
      <c r="S9" s="12">
        <f>'[1]TCO for SI'!S21</f>
        <v>0.79447881454998437</v>
      </c>
    </row>
    <row r="10" spans="1:19" ht="14.5" x14ac:dyDescent="0.7">
      <c r="A10" s="10" t="s">
        <v>6</v>
      </c>
      <c r="B10" s="11">
        <f>'[1]TCO for SI'!K10</f>
        <v>48.768115942028984</v>
      </c>
      <c r="C10" s="9">
        <f>'[1]TCO for SI'!L10</f>
        <v>0.35217391304347823</v>
      </c>
      <c r="D10" s="7">
        <f>'[1]TCO for SI'!M10</f>
        <v>3.4782608695652173</v>
      </c>
      <c r="E10" s="7">
        <f>'[1]TCO for SI'!N10</f>
        <v>60.406228289199035</v>
      </c>
      <c r="F10" s="7">
        <f>'[1]TCO for SI'!O10</f>
        <v>44.190525069810469</v>
      </c>
      <c r="G10" s="7">
        <f>'[1]TCO for SI'!P10</f>
        <v>28.003111220343222</v>
      </c>
      <c r="H10" s="2">
        <f>'[1]TCO for SI'!Q10</f>
        <v>0</v>
      </c>
      <c r="I10" s="2">
        <f>'[1]TCO for SI'!R10</f>
        <v>0</v>
      </c>
      <c r="J10" s="12">
        <f>'[1]TCO for SI'!S10</f>
        <v>0.72038878077013901</v>
      </c>
      <c r="K10" s="11">
        <f>'[1]TCO for SI'!K22</f>
        <v>119.56521739130434</v>
      </c>
      <c r="L10" s="9">
        <f>'[1]TCO for SI'!L22</f>
        <v>0.35217391304347823</v>
      </c>
      <c r="M10" s="2">
        <f>'[1]TCO for SI'!M22</f>
        <v>0</v>
      </c>
      <c r="N10" s="7">
        <f>'[1]TCO for SI'!N22</f>
        <v>7.0194294075303691</v>
      </c>
      <c r="O10" s="7">
        <f>'[1]TCO for SI'!O22</f>
        <v>14.082276009316772</v>
      </c>
      <c r="P10" s="7">
        <f>'[1]TCO for SI'!P22</f>
        <v>4.7593616136972798</v>
      </c>
      <c r="Q10" s="7">
        <f>'[1]TCO for SI'!Q22</f>
        <v>7.9710144927536231</v>
      </c>
      <c r="R10" s="2">
        <f>'[1]TCO for SI'!R22</f>
        <v>0</v>
      </c>
      <c r="S10" s="12">
        <f>'[1]TCO for SI'!S22</f>
        <v>0.63370120650159145</v>
      </c>
    </row>
    <row r="11" spans="1:19" ht="15.25" thickBot="1" x14ac:dyDescent="0.85">
      <c r="A11" s="10" t="s">
        <v>7</v>
      </c>
      <c r="B11" s="13">
        <f>'[1]TCO for SI'!K11</f>
        <v>44.731884057971008</v>
      </c>
      <c r="C11" s="14">
        <f>'[1]TCO for SI'!L11</f>
        <v>0.35217391304347823</v>
      </c>
      <c r="D11" s="15">
        <f>'[1]TCO for SI'!M11</f>
        <v>2.2260869565217387</v>
      </c>
      <c r="E11" s="15">
        <f>'[1]TCO for SI'!N11</f>
        <v>19.106790144927533</v>
      </c>
      <c r="F11" s="15">
        <f>'[1]TCO for SI'!O11</f>
        <v>10.627540760869568</v>
      </c>
      <c r="G11" s="15">
        <f>'[1]TCO for SI'!P11</f>
        <v>6.7345704866646852</v>
      </c>
      <c r="H11" s="16">
        <f>'[1]TCO for SI'!Q11</f>
        <v>0</v>
      </c>
      <c r="I11" s="16">
        <f>'[1]TCO for SI'!R11</f>
        <v>0</v>
      </c>
      <c r="J11" s="17">
        <f>'[1]TCO for SI'!S11</f>
        <v>0.94560539696185753</v>
      </c>
      <c r="K11" s="13">
        <f>'[1]TCO for SI'!K23</f>
        <v>115.07246376811594</v>
      </c>
      <c r="L11" s="14">
        <f>'[1]TCO for SI'!L23</f>
        <v>0.35217391304347823</v>
      </c>
      <c r="M11" s="16">
        <f>'[1]TCO for SI'!M23</f>
        <v>0</v>
      </c>
      <c r="N11" s="15">
        <f>'[1]TCO for SI'!N23</f>
        <v>4.456164982396956</v>
      </c>
      <c r="O11" s="15">
        <f>'[1]TCO for SI'!O23</f>
        <v>4.9064398052883771</v>
      </c>
      <c r="P11" s="15">
        <f>'[1]TCO for SI'!P23</f>
        <v>3.343186850413236</v>
      </c>
      <c r="Q11" s="15">
        <f>'[1]TCO for SI'!Q23</f>
        <v>7.9710144927536231</v>
      </c>
      <c r="R11" s="16">
        <f>'[1]TCO for SI'!R23</f>
        <v>0</v>
      </c>
      <c r="S11" s="17">
        <f>'[1]TCO for SI'!S23</f>
        <v>0.5937290965479014</v>
      </c>
    </row>
  </sheetData>
  <mergeCells count="5">
    <mergeCell ref="B1:I1"/>
    <mergeCell ref="K1:R1"/>
    <mergeCell ref="J1:J2"/>
    <mergeCell ref="S1:S2"/>
    <mergeCell ref="A1:A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0F9-B8A7-44C0-8D10-5E34B4161D4A}">
  <sheetPr>
    <tabColor rgb="FFFFE593"/>
  </sheetPr>
  <dimension ref="A1:D69"/>
  <sheetViews>
    <sheetView tabSelected="1" zoomScale="115" zoomScaleNormal="115" workbookViewId="0">
      <selection activeCell="B36" sqref="B36"/>
    </sheetView>
  </sheetViews>
  <sheetFormatPr defaultRowHeight="13.25" x14ac:dyDescent="0.45"/>
  <cols>
    <col min="1" max="1" width="16.453125" customWidth="1"/>
    <col min="2" max="2" width="49.6328125" style="18" customWidth="1"/>
  </cols>
  <sheetData>
    <row r="1" spans="1:4" ht="14.25" x14ac:dyDescent="0.65">
      <c r="A1" s="31" t="s">
        <v>95</v>
      </c>
      <c r="B1" s="31"/>
      <c r="C1" s="22">
        <v>2020</v>
      </c>
      <c r="D1" s="22">
        <v>2030</v>
      </c>
    </row>
    <row r="2" spans="1:4" ht="14.5" x14ac:dyDescent="0.7">
      <c r="A2" s="30" t="s">
        <v>97</v>
      </c>
      <c r="B2" s="19" t="s">
        <v>31</v>
      </c>
      <c r="C2" s="20">
        <v>2.1753892989496069</v>
      </c>
      <c r="D2" s="20">
        <v>1.7708299700819072</v>
      </c>
    </row>
    <row r="3" spans="1:4" ht="14.5" x14ac:dyDescent="0.7">
      <c r="A3" s="30"/>
      <c r="B3" s="19" t="s">
        <v>32</v>
      </c>
      <c r="C3" s="20">
        <v>1.4476037089603062</v>
      </c>
      <c r="D3" s="20">
        <v>0.97138223327370621</v>
      </c>
    </row>
    <row r="4" spans="1:4" ht="14.5" x14ac:dyDescent="0.7">
      <c r="A4" s="30"/>
      <c r="B4" s="19" t="s">
        <v>33</v>
      </c>
      <c r="C4" s="20">
        <v>1.1824225914452235</v>
      </c>
      <c r="D4" s="20">
        <v>1.0310915884893412</v>
      </c>
    </row>
    <row r="5" spans="1:4" ht="14.5" x14ac:dyDescent="0.7">
      <c r="A5" s="30"/>
      <c r="B5" s="19" t="s">
        <v>34</v>
      </c>
      <c r="C5" s="20">
        <v>14.080690216425712</v>
      </c>
      <c r="D5" s="20">
        <v>9.9623035437942775</v>
      </c>
    </row>
    <row r="6" spans="1:4" ht="14.5" x14ac:dyDescent="0.7">
      <c r="A6" s="30"/>
      <c r="B6" s="19" t="s">
        <v>35</v>
      </c>
      <c r="C6" s="20">
        <v>14.308312185069921</v>
      </c>
      <c r="D6" s="20">
        <v>10.175337078982576</v>
      </c>
    </row>
    <row r="7" spans="1:4" ht="14.5" x14ac:dyDescent="0.7">
      <c r="A7" s="30"/>
      <c r="B7" s="19" t="s">
        <v>36</v>
      </c>
      <c r="C7" s="20">
        <v>5.0970882233880941</v>
      </c>
      <c r="D7" s="20">
        <v>3.2484702120201723</v>
      </c>
    </row>
    <row r="8" spans="1:4" ht="14.5" x14ac:dyDescent="0.7">
      <c r="A8" s="30"/>
      <c r="B8" s="19" t="s">
        <v>37</v>
      </c>
      <c r="C8" s="20">
        <v>3.3825252317053454</v>
      </c>
      <c r="D8" s="20">
        <v>2.1211800075772231</v>
      </c>
    </row>
    <row r="9" spans="1:4" ht="14.5" x14ac:dyDescent="0.7">
      <c r="A9" s="30"/>
      <c r="B9" s="19" t="s">
        <v>38</v>
      </c>
      <c r="C9" s="20">
        <v>19.663933753632055</v>
      </c>
      <c r="D9" s="20">
        <v>15.543013433534959</v>
      </c>
    </row>
    <row r="10" spans="1:4" ht="14.5" x14ac:dyDescent="0.7">
      <c r="A10" s="30"/>
      <c r="B10" s="19" t="s">
        <v>39</v>
      </c>
      <c r="C10" s="20">
        <v>1.7332481513788018</v>
      </c>
      <c r="D10" s="20">
        <v>1.554348394081897</v>
      </c>
    </row>
    <row r="11" spans="1:4" ht="14.5" x14ac:dyDescent="0.7">
      <c r="A11" s="30"/>
      <c r="B11" s="19" t="s">
        <v>40</v>
      </c>
      <c r="C11" s="20">
        <v>3.3327898783232848</v>
      </c>
      <c r="D11" s="20">
        <v>2.9103706473004141</v>
      </c>
    </row>
    <row r="12" spans="1:4" ht="14.5" x14ac:dyDescent="0.7">
      <c r="A12" s="30"/>
      <c r="B12" s="19" t="s">
        <v>41</v>
      </c>
      <c r="C12" s="20">
        <v>4.3909777176371669</v>
      </c>
      <c r="D12" s="20">
        <v>3.7897775958797033</v>
      </c>
    </row>
    <row r="13" spans="1:4" ht="14.5" x14ac:dyDescent="0.7">
      <c r="A13" s="30"/>
      <c r="B13" s="19" t="s">
        <v>42</v>
      </c>
      <c r="C13" s="20">
        <v>17.3175581175873</v>
      </c>
      <c r="D13" s="20">
        <v>13.44753797350482</v>
      </c>
    </row>
    <row r="14" spans="1:4" ht="14.5" x14ac:dyDescent="0.7">
      <c r="A14" s="30"/>
      <c r="B14" s="19" t="s">
        <v>43</v>
      </c>
      <c r="C14" s="20">
        <v>30.260384472802574</v>
      </c>
      <c r="D14" s="20">
        <v>22.188367214370263</v>
      </c>
    </row>
    <row r="15" spans="1:4" ht="14.5" x14ac:dyDescent="0.7">
      <c r="A15" s="30"/>
      <c r="B15" s="19" t="s">
        <v>44</v>
      </c>
      <c r="C15" s="20">
        <v>4.878276839095248</v>
      </c>
      <c r="D15" s="20">
        <v>4.0033352923194307</v>
      </c>
    </row>
    <row r="16" spans="1:4" ht="14.5" x14ac:dyDescent="0.7">
      <c r="A16" s="30"/>
      <c r="B16" s="19" t="s">
        <v>45</v>
      </c>
      <c r="C16" s="20">
        <v>14.436630949557262</v>
      </c>
      <c r="D16" s="20">
        <v>13.58015301064373</v>
      </c>
    </row>
    <row r="17" spans="1:4" ht="14.5" x14ac:dyDescent="0.7">
      <c r="A17" s="30"/>
      <c r="B17" s="19" t="s">
        <v>46</v>
      </c>
      <c r="C17" s="20">
        <v>1.4917437317137849</v>
      </c>
      <c r="D17" s="20">
        <v>1.1119921871215774</v>
      </c>
    </row>
    <row r="18" spans="1:4" ht="14.5" x14ac:dyDescent="0.7">
      <c r="A18" s="30"/>
      <c r="B18" s="19" t="s">
        <v>47</v>
      </c>
      <c r="C18" s="20">
        <v>120.10281757807164</v>
      </c>
      <c r="D18" s="20">
        <v>85.972175652697132</v>
      </c>
    </row>
    <row r="19" spans="1:4" ht="14.5" x14ac:dyDescent="0.7">
      <c r="A19" s="30"/>
      <c r="B19" s="19" t="s">
        <v>48</v>
      </c>
      <c r="C19" s="20">
        <v>7.8467125826677773</v>
      </c>
      <c r="D19" s="20">
        <v>7.3837015616963679</v>
      </c>
    </row>
    <row r="20" spans="1:4" ht="14.5" x14ac:dyDescent="0.7">
      <c r="A20" s="30"/>
      <c r="B20" s="19" t="s">
        <v>49</v>
      </c>
      <c r="C20" s="20">
        <v>1.4584755479759286</v>
      </c>
      <c r="D20" s="20">
        <v>1.086764343920454</v>
      </c>
    </row>
    <row r="21" spans="1:4" ht="14.5" x14ac:dyDescent="0.7">
      <c r="A21" s="30"/>
      <c r="B21" s="19" t="s">
        <v>50</v>
      </c>
      <c r="C21" s="20">
        <v>97.743639997165232</v>
      </c>
      <c r="D21" s="20">
        <v>93.044574674958213</v>
      </c>
    </row>
    <row r="22" spans="1:4" ht="14.5" x14ac:dyDescent="0.7">
      <c r="A22" s="30"/>
      <c r="B22" s="19" t="s">
        <v>51</v>
      </c>
      <c r="C22" s="20">
        <v>241.80384270646718</v>
      </c>
      <c r="D22" s="20">
        <v>163.06336645183413</v>
      </c>
    </row>
    <row r="23" spans="1:4" ht="14.5" x14ac:dyDescent="0.7">
      <c r="A23" s="30"/>
      <c r="B23" s="19" t="s">
        <v>96</v>
      </c>
      <c r="C23" s="20">
        <v>4.4254543328579903</v>
      </c>
      <c r="D23" s="20">
        <v>4.1881849483113474</v>
      </c>
    </row>
    <row r="24" spans="1:4" ht="14.5" x14ac:dyDescent="0.7">
      <c r="A24" s="30" t="s">
        <v>99</v>
      </c>
      <c r="B24" s="19" t="s">
        <v>52</v>
      </c>
      <c r="C24" s="20">
        <v>3.2234353083073906</v>
      </c>
      <c r="D24" s="20">
        <v>3.14348932043317</v>
      </c>
    </row>
    <row r="25" spans="1:4" ht="14.5" x14ac:dyDescent="0.7">
      <c r="A25" s="30"/>
      <c r="B25" s="19" t="s">
        <v>53</v>
      </c>
      <c r="C25" s="20">
        <v>3.2234353083073906</v>
      </c>
      <c r="D25" s="20">
        <v>3.14348932043317</v>
      </c>
    </row>
    <row r="26" spans="1:4" ht="14.5" x14ac:dyDescent="0.7">
      <c r="A26" s="30"/>
      <c r="B26" s="19" t="s">
        <v>54</v>
      </c>
      <c r="C26" s="20">
        <v>3.2234353083073906</v>
      </c>
      <c r="D26" s="20">
        <v>3.14348932043317</v>
      </c>
    </row>
    <row r="27" spans="1:4" ht="14.5" x14ac:dyDescent="0.7">
      <c r="A27" s="30"/>
      <c r="B27" s="19" t="s">
        <v>55</v>
      </c>
      <c r="C27" s="20">
        <v>3.2234353083073906</v>
      </c>
      <c r="D27" s="20">
        <v>3.14348932043317</v>
      </c>
    </row>
    <row r="28" spans="1:4" ht="14.5" x14ac:dyDescent="0.7">
      <c r="A28" s="30"/>
      <c r="B28" s="19" t="s">
        <v>56</v>
      </c>
      <c r="C28" s="20">
        <v>1.6130875652822052</v>
      </c>
      <c r="D28" s="20">
        <v>1.5706095395737012</v>
      </c>
    </row>
    <row r="29" spans="1:4" ht="14.5" x14ac:dyDescent="0.7">
      <c r="A29" s="30"/>
      <c r="B29" s="19" t="s">
        <v>57</v>
      </c>
      <c r="C29" s="20">
        <v>0.11733299418347669</v>
      </c>
      <c r="D29" s="20">
        <v>9.9641988292686792E-2</v>
      </c>
    </row>
    <row r="30" spans="1:4" ht="14.5" x14ac:dyDescent="0.7">
      <c r="A30" s="30"/>
      <c r="B30" s="19" t="s">
        <v>58</v>
      </c>
      <c r="C30" s="20">
        <v>3.3327898783232848</v>
      </c>
      <c r="D30" s="20">
        <v>2.9103706473004141</v>
      </c>
    </row>
    <row r="31" spans="1:4" ht="14.5" x14ac:dyDescent="0.7">
      <c r="A31" s="30" t="s">
        <v>98</v>
      </c>
      <c r="B31" s="19" t="s">
        <v>59</v>
      </c>
      <c r="C31" s="20">
        <v>1.901847370885716</v>
      </c>
      <c r="D31" s="20">
        <v>1.5726939909897726</v>
      </c>
    </row>
    <row r="32" spans="1:4" ht="14.5" x14ac:dyDescent="0.7">
      <c r="A32" s="32"/>
      <c r="B32" s="19" t="s">
        <v>60</v>
      </c>
      <c r="C32" s="20">
        <v>0.76011782643747894</v>
      </c>
      <c r="D32" s="20">
        <v>0.60840530754877409</v>
      </c>
    </row>
    <row r="33" spans="1:4" ht="14.5" x14ac:dyDescent="0.7">
      <c r="A33" s="32"/>
      <c r="B33" s="19" t="s">
        <v>61</v>
      </c>
      <c r="C33" s="20">
        <v>4.558392802502427E-2</v>
      </c>
      <c r="D33" s="20">
        <v>4.0150065788288093E-2</v>
      </c>
    </row>
    <row r="34" spans="1:4" ht="14.5" x14ac:dyDescent="0.7">
      <c r="A34" s="32"/>
      <c r="B34" s="19" t="s">
        <v>62</v>
      </c>
      <c r="C34" s="20">
        <v>1.9519292894853388</v>
      </c>
      <c r="D34" s="20">
        <v>1.5990107359211954</v>
      </c>
    </row>
    <row r="35" spans="1:4" ht="14.5" x14ac:dyDescent="0.7">
      <c r="A35" s="32"/>
      <c r="B35" s="19" t="s">
        <v>63</v>
      </c>
      <c r="C35" s="20">
        <v>0</v>
      </c>
      <c r="D35" s="20">
        <v>0</v>
      </c>
    </row>
    <row r="36" spans="1:4" ht="16.5" x14ac:dyDescent="0.9">
      <c r="A36" s="32"/>
      <c r="B36" s="19" t="s">
        <v>102</v>
      </c>
      <c r="C36" s="20">
        <v>0.38153710645801192</v>
      </c>
      <c r="D36" s="20">
        <v>0.28893726218910992</v>
      </c>
    </row>
    <row r="37" spans="1:4" ht="14.5" x14ac:dyDescent="0.7">
      <c r="A37" s="30" t="s">
        <v>100</v>
      </c>
      <c r="B37" s="19" t="s">
        <v>64</v>
      </c>
      <c r="C37" s="21">
        <v>54.364948324155364</v>
      </c>
      <c r="D37" s="21">
        <v>33.013029627733587</v>
      </c>
    </row>
    <row r="38" spans="1:4" ht="14.5" x14ac:dyDescent="0.7">
      <c r="A38" s="30"/>
      <c r="B38" s="19" t="s">
        <v>65</v>
      </c>
      <c r="C38" s="21">
        <v>227.21018675733956</v>
      </c>
      <c r="D38" s="21">
        <v>190.33825280695601</v>
      </c>
    </row>
    <row r="39" spans="1:4" ht="14.5" x14ac:dyDescent="0.7">
      <c r="A39" s="30"/>
      <c r="B39" s="19" t="s">
        <v>66</v>
      </c>
      <c r="C39" s="21">
        <v>58.434544471848298</v>
      </c>
      <c r="D39" s="21">
        <v>37.799809241531108</v>
      </c>
    </row>
    <row r="40" spans="1:4" ht="14.5" x14ac:dyDescent="0.7">
      <c r="A40" s="30"/>
      <c r="B40" s="19" t="s">
        <v>67</v>
      </c>
      <c r="C40" s="21">
        <v>61.551608709097096</v>
      </c>
      <c r="D40" s="21">
        <v>37.392208862396238</v>
      </c>
    </row>
    <row r="41" spans="1:4" ht="14.5" x14ac:dyDescent="0.7">
      <c r="A41" s="30"/>
      <c r="B41" s="19" t="s">
        <v>68</v>
      </c>
      <c r="C41" s="21">
        <v>45.294750710070474</v>
      </c>
      <c r="D41" s="21">
        <v>27.51627153931409</v>
      </c>
    </row>
    <row r="42" spans="1:4" ht="14.5" x14ac:dyDescent="0.7">
      <c r="A42" s="30"/>
      <c r="B42" s="19" t="s">
        <v>69</v>
      </c>
      <c r="C42" s="21">
        <v>72.300915638809769</v>
      </c>
      <c r="D42" s="21">
        <v>43.922344114286325</v>
      </c>
    </row>
    <row r="43" spans="1:4" ht="14.5" x14ac:dyDescent="0.7">
      <c r="A43" s="30"/>
      <c r="B43" s="19" t="s">
        <v>70</v>
      </c>
      <c r="C43" s="21">
        <v>35.744104996124953</v>
      </c>
      <c r="D43" s="21">
        <v>21.714315314345114</v>
      </c>
    </row>
    <row r="44" spans="1:4" ht="14.5" x14ac:dyDescent="0.7">
      <c r="A44" s="30"/>
      <c r="B44" s="19" t="s">
        <v>71</v>
      </c>
      <c r="C44" s="21">
        <v>512.63437326349981</v>
      </c>
      <c r="D44" s="21">
        <v>382.04186423008434</v>
      </c>
    </row>
    <row r="45" spans="1:4" ht="14.5" x14ac:dyDescent="0.7">
      <c r="A45" s="30" t="s">
        <v>101</v>
      </c>
      <c r="B45" s="19" t="s">
        <v>72</v>
      </c>
      <c r="C45" s="20">
        <v>2.5183394031980151</v>
      </c>
      <c r="D45" s="20">
        <v>1.9030222701453379</v>
      </c>
    </row>
    <row r="46" spans="1:4" ht="14.5" x14ac:dyDescent="0.7">
      <c r="A46" s="30"/>
      <c r="B46" s="19" t="s">
        <v>73</v>
      </c>
      <c r="C46" s="20">
        <v>14.12168736844496</v>
      </c>
      <c r="D46" s="20">
        <v>8.6623280223554069</v>
      </c>
    </row>
    <row r="47" spans="1:4" ht="14.5" x14ac:dyDescent="0.7">
      <c r="A47" s="30"/>
      <c r="B47" s="19" t="s">
        <v>74</v>
      </c>
      <c r="C47" s="20">
        <v>0.37325700622078373</v>
      </c>
      <c r="D47" s="20">
        <v>0.32644903559931682</v>
      </c>
    </row>
    <row r="48" spans="1:4" ht="14.5" x14ac:dyDescent="0.7">
      <c r="A48" s="30"/>
      <c r="B48" s="19" t="s">
        <v>75</v>
      </c>
      <c r="C48" s="20">
        <v>1.3796077539155702</v>
      </c>
      <c r="D48" s="20">
        <v>1.2130283775678739</v>
      </c>
    </row>
    <row r="49" spans="1:4" ht="14.5" x14ac:dyDescent="0.7">
      <c r="A49" s="30"/>
      <c r="B49" s="19" t="s">
        <v>76</v>
      </c>
      <c r="C49" s="20">
        <v>1.901847370885716</v>
      </c>
      <c r="D49" s="20">
        <v>1.5726939909897726</v>
      </c>
    </row>
    <row r="50" spans="1:4" ht="14.5" x14ac:dyDescent="0.7">
      <c r="A50" s="30"/>
      <c r="B50" s="19" t="s">
        <v>77</v>
      </c>
      <c r="C50" s="20">
        <v>2.3170637570270265</v>
      </c>
      <c r="D50" s="20">
        <v>1.8608029470243808</v>
      </c>
    </row>
    <row r="51" spans="1:4" ht="14.5" x14ac:dyDescent="0.7">
      <c r="A51" s="30"/>
      <c r="B51" s="19" t="s">
        <v>78</v>
      </c>
      <c r="C51" s="20">
        <v>3.0431953423417779</v>
      </c>
      <c r="D51" s="20">
        <v>2.6117309593091309</v>
      </c>
    </row>
    <row r="52" spans="1:4" ht="14.5" x14ac:dyDescent="0.7">
      <c r="A52" s="30"/>
      <c r="B52" s="19" t="s">
        <v>79</v>
      </c>
      <c r="C52" s="20">
        <v>1.9519292894853388</v>
      </c>
      <c r="D52" s="20">
        <v>1.5990107359211954</v>
      </c>
    </row>
    <row r="53" spans="1:4" ht="14.5" x14ac:dyDescent="0.7">
      <c r="A53" s="30"/>
      <c r="B53" s="19" t="s">
        <v>80</v>
      </c>
      <c r="C53" s="20">
        <v>1.6130875652822052</v>
      </c>
      <c r="D53" s="20">
        <v>1.5706095395737012</v>
      </c>
    </row>
    <row r="54" spans="1:4" ht="14.5" x14ac:dyDescent="0.7">
      <c r="A54" s="30"/>
      <c r="B54" s="19" t="s">
        <v>81</v>
      </c>
      <c r="C54" s="20">
        <v>29.124475177795166</v>
      </c>
      <c r="D54" s="20">
        <v>20.073790141240522</v>
      </c>
    </row>
    <row r="55" spans="1:4" ht="14.5" x14ac:dyDescent="0.7">
      <c r="A55" s="30"/>
      <c r="B55" s="19" t="s">
        <v>82</v>
      </c>
      <c r="C55" s="20">
        <v>3.2950294953027508</v>
      </c>
      <c r="D55" s="20">
        <v>3.0124774311718361</v>
      </c>
    </row>
    <row r="56" spans="1:4" ht="14.5" x14ac:dyDescent="0.7">
      <c r="A56" s="30"/>
      <c r="B56" s="19" t="s">
        <v>83</v>
      </c>
      <c r="C56" s="20">
        <v>19.042670050012443</v>
      </c>
      <c r="D56" s="20">
        <v>16.106511470660628</v>
      </c>
    </row>
    <row r="57" spans="1:4" ht="14.5" x14ac:dyDescent="0.7">
      <c r="A57" s="30"/>
      <c r="B57" s="19" t="s">
        <v>84</v>
      </c>
      <c r="C57" s="20">
        <v>18.546599068617933</v>
      </c>
      <c r="D57" s="20">
        <v>15.727536402727566</v>
      </c>
    </row>
    <row r="58" spans="1:4" ht="14.5" x14ac:dyDescent="0.7">
      <c r="A58" s="30"/>
      <c r="B58" s="19" t="s">
        <v>85</v>
      </c>
      <c r="C58" s="20">
        <v>19.928707038198073</v>
      </c>
      <c r="D58" s="20">
        <v>17.034256837542781</v>
      </c>
    </row>
    <row r="59" spans="1:4" ht="14.5" x14ac:dyDescent="0.7">
      <c r="A59" s="30"/>
      <c r="B59" s="19" t="s">
        <v>86</v>
      </c>
      <c r="C59" s="20">
        <v>20.897766663958983</v>
      </c>
      <c r="D59" s="20">
        <v>17.962147496454115</v>
      </c>
    </row>
    <row r="60" spans="1:4" ht="14.5" x14ac:dyDescent="0.7">
      <c r="A60" s="30"/>
      <c r="B60" s="19" t="s">
        <v>87</v>
      </c>
      <c r="C60" s="20">
        <v>23.181703183633871</v>
      </c>
      <c r="D60" s="20">
        <v>20.010021081809256</v>
      </c>
    </row>
    <row r="61" spans="1:4" ht="14.5" x14ac:dyDescent="0.7">
      <c r="A61" s="30"/>
      <c r="B61" s="19" t="s">
        <v>88</v>
      </c>
      <c r="C61" s="20">
        <v>14.397916333361444</v>
      </c>
      <c r="D61" s="20">
        <v>11.387527561617302</v>
      </c>
    </row>
    <row r="62" spans="1:4" ht="14.5" x14ac:dyDescent="0.7">
      <c r="A62" s="30"/>
      <c r="B62" s="19" t="s">
        <v>89</v>
      </c>
      <c r="C62" s="20">
        <v>4.8090118110034439</v>
      </c>
      <c r="D62" s="20">
        <v>4.7135842438333011</v>
      </c>
    </row>
    <row r="63" spans="1:4" ht="14.5" x14ac:dyDescent="0.7">
      <c r="A63" s="30"/>
      <c r="B63" s="19" t="s">
        <v>90</v>
      </c>
      <c r="C63" s="20">
        <v>2.8098983350016593</v>
      </c>
      <c r="D63" s="20">
        <v>2.4364896903340751</v>
      </c>
    </row>
    <row r="64" spans="1:4" ht="14.5" x14ac:dyDescent="0.7">
      <c r="A64" s="30"/>
      <c r="B64" s="19" t="s">
        <v>91</v>
      </c>
      <c r="C64" s="20">
        <v>9.5599381897888289</v>
      </c>
      <c r="D64" s="20">
        <v>8.8067412982599826</v>
      </c>
    </row>
    <row r="65" spans="1:4" ht="14.5" x14ac:dyDescent="0.7">
      <c r="A65" s="30"/>
      <c r="B65" s="19" t="s">
        <v>92</v>
      </c>
      <c r="C65" s="20">
        <v>18.900511002786512</v>
      </c>
      <c r="D65" s="20">
        <v>15.858652305481872</v>
      </c>
    </row>
    <row r="66" spans="1:4" ht="14.5" x14ac:dyDescent="0.7">
      <c r="A66" s="30"/>
      <c r="B66" s="19" t="s">
        <v>93</v>
      </c>
      <c r="C66" s="20">
        <v>24.577339523997704</v>
      </c>
      <c r="D66" s="20">
        <v>21.32879573548205</v>
      </c>
    </row>
    <row r="67" spans="1:4" ht="14.5" x14ac:dyDescent="0.7">
      <c r="A67" s="30"/>
      <c r="B67" s="19" t="s">
        <v>94</v>
      </c>
      <c r="C67" s="20">
        <v>4.6130863237761615</v>
      </c>
      <c r="D67" s="20">
        <v>4.4099316878374424</v>
      </c>
    </row>
    <row r="68" spans="1:4" ht="14.5" x14ac:dyDescent="0.7">
      <c r="A68" s="30"/>
      <c r="B68" s="19" t="s">
        <v>103</v>
      </c>
      <c r="C68" s="20">
        <v>27.0615602686218</v>
      </c>
      <c r="D68" s="20">
        <v>18.375646188936994</v>
      </c>
    </row>
    <row r="69" spans="1:4" ht="14.5" x14ac:dyDescent="0.7">
      <c r="A69" s="30"/>
      <c r="B69" s="19" t="s">
        <v>104</v>
      </c>
      <c r="C69" s="20">
        <v>17.237179602605153</v>
      </c>
      <c r="D69" s="20">
        <v>10.818736673727924</v>
      </c>
    </row>
  </sheetData>
  <mergeCells count="6">
    <mergeCell ref="A45:A69"/>
    <mergeCell ref="A1:B1"/>
    <mergeCell ref="A37:A44"/>
    <mergeCell ref="A31:A36"/>
    <mergeCell ref="A24:A30"/>
    <mergeCell ref="A2:A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Life-cycle CO2 emissions</vt:lpstr>
      <vt:lpstr>Total cost of ownership</vt:lpstr>
      <vt:lpstr>Material emission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Zhao</dc:creator>
  <cp:lastModifiedBy>赵昢</cp:lastModifiedBy>
  <dcterms:created xsi:type="dcterms:W3CDTF">2022-04-23T06:37:54Z</dcterms:created>
  <dcterms:modified xsi:type="dcterms:W3CDTF">2024-03-02T07:38:31Z</dcterms:modified>
</cp:coreProperties>
</file>